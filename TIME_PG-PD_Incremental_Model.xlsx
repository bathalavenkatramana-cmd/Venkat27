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-PD Increment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B5C65"/>
      <sz val="11"/>
    </font>
    <font>
      <name val="Calibri"/>
      <color rgb="001F2A30"/>
      <sz val="10"/>
    </font>
    <font>
      <name val="Calibri"/>
      <b val="1"/>
      <color rgb="001F2A30"/>
      <sz val="10"/>
    </font>
    <font>
      <name val="Calibri"/>
      <b val="1"/>
      <color rgb="00FFFFFF"/>
      <sz val="9"/>
    </font>
    <font>
      <name val="Calibri"/>
      <b val="1"/>
      <color rgb="000B5C65"/>
      <sz val="10"/>
    </font>
    <font>
      <name val="Calibri"/>
      <color rgb="008A6D1F"/>
      <sz val="9"/>
    </font>
  </fonts>
  <fills count="7">
    <fill>
      <patternFill/>
    </fill>
    <fill>
      <patternFill patternType="gray125"/>
    </fill>
    <fill>
      <patternFill patternType="solid">
        <fgColor rgb="000B5C65"/>
      </patternFill>
    </fill>
    <fill>
      <patternFill patternType="solid">
        <fgColor rgb="00FCEFCB"/>
      </patternFill>
    </fill>
    <fill>
      <patternFill patternType="solid">
        <fgColor rgb="00E8F4F5"/>
      </patternFill>
    </fill>
    <fill>
      <patternFill patternType="solid">
        <fgColor rgb="000F7D88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9D2D4"/>
      </left>
      <right style="thin">
        <color rgb="00C9D2D4"/>
      </right>
      <top style="thin">
        <color rgb="00C9D2D4"/>
      </top>
      <bottom style="thin">
        <color rgb="00C9D2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2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TIME  |  PG/PD Incremental Revenue Model  —  US, Top-6 Slots (Jan–May 2026)</t>
        </is>
      </c>
    </row>
    <row r="3">
      <c r="A3" s="2" t="inlineStr">
        <is>
          <t>Assumptions (editable)</t>
        </is>
      </c>
    </row>
    <row r="4">
      <c r="A4" s="3" t="inlineStr">
        <is>
          <t>PG/PD eCPM multiple (× current programmatic)</t>
        </is>
      </c>
      <c r="B4" s="4" t="n">
        <v>2.2</v>
      </c>
    </row>
    <row r="5">
      <c r="A5" s="3" t="inlineStr">
        <is>
          <t>Low case — % programmatic impressions shifted</t>
        </is>
      </c>
      <c r="B5" s="5" t="n">
        <v>0.05</v>
      </c>
    </row>
    <row r="6">
      <c r="A6" s="3" t="inlineStr">
        <is>
          <t>Base case — % shifted</t>
        </is>
      </c>
      <c r="B6" s="5" t="n">
        <v>0.1</v>
      </c>
    </row>
    <row r="7">
      <c r="A7" s="3" t="inlineStr">
        <is>
          <t>High case — % shifted</t>
        </is>
      </c>
      <c r="B7" s="5" t="n">
        <v>0.15</v>
      </c>
    </row>
    <row r="8">
      <c r="A8" s="3" t="inlineStr">
        <is>
          <t>Months in reference period</t>
        </is>
      </c>
      <c r="B8" s="6" t="n">
        <v>5</v>
      </c>
    </row>
    <row r="10" ht="30" customHeight="1">
      <c r="A10" s="7" t="inlineStr">
        <is>
          <t>Section</t>
        </is>
      </c>
      <c r="B10" s="7" t="inlineStr">
        <is>
          <t>Prog. impressions (period)</t>
        </is>
      </c>
      <c r="C10" s="7" t="inlineStr">
        <is>
          <t>Prog. revenue (period)</t>
        </is>
      </c>
      <c r="D10" s="7" t="inlineStr">
        <is>
          <t>Monthly prog. impressions</t>
        </is>
      </c>
      <c r="E10" s="7" t="inlineStr">
        <is>
          <t>Current prog. eCPM</t>
        </is>
      </c>
      <c r="F10" s="7" t="inlineStr">
        <is>
          <t>Proposed PG/PD eCPM</t>
        </is>
      </c>
      <c r="G10" s="7" t="inlineStr">
        <is>
          <t>Inc./mo @ Low</t>
        </is>
      </c>
      <c r="H10" s="7" t="inlineStr">
        <is>
          <t>Inc./mo @ Base</t>
        </is>
      </c>
      <c r="I10" s="7" t="inlineStr">
        <is>
          <t>Inc./mo @ High</t>
        </is>
      </c>
    </row>
    <row r="11">
      <c r="A11" s="8" t="inlineStr">
        <is>
          <t>Entertainment</t>
        </is>
      </c>
      <c r="B11" s="9" t="n">
        <v>22835006</v>
      </c>
      <c r="C11" s="10" t="n">
        <v>53795</v>
      </c>
      <c r="D11" s="9">
        <f>B11/$B$8</f>
        <v/>
      </c>
      <c r="E11" s="11">
        <f>C11/B11*1000</f>
        <v/>
      </c>
      <c r="F11" s="11">
        <f>E11*$B$4</f>
        <v/>
      </c>
      <c r="G11" s="10">
        <f>D11*$B$5/1000*(F11-E11)</f>
        <v/>
      </c>
      <c r="H11" s="10">
        <f>D11*$B$6/1000*(F11-E11)</f>
        <v/>
      </c>
      <c r="I11" s="10">
        <f>D11*$B$7/1000*(F11-E11)</f>
        <v/>
      </c>
    </row>
    <row r="12">
      <c r="A12" s="8" t="inlineStr">
        <is>
          <t>U.S.</t>
        </is>
      </c>
      <c r="B12" s="9" t="n">
        <v>15568972</v>
      </c>
      <c r="C12" s="10" t="n">
        <v>40869</v>
      </c>
      <c r="D12" s="9">
        <f>B12/$B$8</f>
        <v/>
      </c>
      <c r="E12" s="11">
        <f>C12/B12*1000</f>
        <v/>
      </c>
      <c r="F12" s="11">
        <f>E12*$B$4</f>
        <v/>
      </c>
      <c r="G12" s="10">
        <f>D12*$B$5/1000*(F12-E12)</f>
        <v/>
      </c>
      <c r="H12" s="10">
        <f>D12*$B$6/1000*(F12-E12)</f>
        <v/>
      </c>
      <c r="I12" s="10">
        <f>D12*$B$7/1000*(F12-E12)</f>
        <v/>
      </c>
    </row>
    <row r="13">
      <c r="A13" s="8" t="inlineStr">
        <is>
          <t>Health</t>
        </is>
      </c>
      <c r="B13" s="9" t="n">
        <v>10085819</v>
      </c>
      <c r="C13" s="10" t="n">
        <v>40761</v>
      </c>
      <c r="D13" s="9">
        <f>B13/$B$8</f>
        <v/>
      </c>
      <c r="E13" s="11">
        <f>C13/B13*1000</f>
        <v/>
      </c>
      <c r="F13" s="11">
        <f>E13*$B$4</f>
        <v/>
      </c>
      <c r="G13" s="10">
        <f>D13*$B$5/1000*(F13-E13)</f>
        <v/>
      </c>
      <c r="H13" s="10">
        <f>D13*$B$6/1000*(F13-E13)</f>
        <v/>
      </c>
      <c r="I13" s="10">
        <f>D13*$B$7/1000*(F13-E13)</f>
        <v/>
      </c>
    </row>
    <row r="14">
      <c r="A14" s="8" t="inlineStr">
        <is>
          <t>Science &amp; Tech</t>
        </is>
      </c>
      <c r="B14" s="9" t="n">
        <v>3338495</v>
      </c>
      <c r="C14" s="10" t="n">
        <v>11475</v>
      </c>
      <c r="D14" s="9">
        <f>B14/$B$8</f>
        <v/>
      </c>
      <c r="E14" s="11">
        <f>C14/B14*1000</f>
        <v/>
      </c>
      <c r="F14" s="11">
        <f>E14*$B$4</f>
        <v/>
      </c>
      <c r="G14" s="10">
        <f>D14*$B$5/1000*(F14-E14)</f>
        <v/>
      </c>
      <c r="H14" s="10">
        <f>D14*$B$6/1000*(F14-E14)</f>
        <v/>
      </c>
      <c r="I14" s="10">
        <f>D14*$B$7/1000*(F14-E14)</f>
        <v/>
      </c>
    </row>
    <row r="15">
      <c r="A15" s="12" t="inlineStr">
        <is>
          <t>TOTAL (5 sections shown)</t>
        </is>
      </c>
      <c r="B15" s="13" t="n"/>
      <c r="C15" s="13" t="n"/>
      <c r="D15" s="14">
        <f>SUM(D11:D14)</f>
        <v/>
      </c>
      <c r="E15" s="13" t="n"/>
      <c r="F15" s="13" t="n"/>
      <c r="G15" s="15">
        <f>SUM(G11:G14)</f>
        <v/>
      </c>
      <c r="H15" s="15">
        <f>SUM(H11:H14)</f>
        <v/>
      </c>
      <c r="I15" s="15">
        <f>SUM(I11:I14)</f>
        <v/>
      </c>
    </row>
    <row r="17">
      <c r="A17" s="16" t="inlineStr">
        <is>
          <t>Annualized (Base case × 12)</t>
        </is>
      </c>
      <c r="B17" s="17">
        <f>H15*12</f>
        <v/>
      </c>
    </row>
    <row r="19">
      <c r="A19" s="2" t="inlineStr">
        <is>
          <t>Alternative: fixed PG/PD eCPM (Base-case 10% shift)</t>
        </is>
      </c>
    </row>
    <row r="20">
      <c r="A20" s="18" t="inlineStr">
        <is>
          <t>Section</t>
        </is>
      </c>
      <c r="B20" s="18" t="inlineStr">
        <is>
          <t>Inc./mo @ $8</t>
        </is>
      </c>
      <c r="C20" s="18" t="inlineStr">
        <is>
          <t>Inc./mo @ $10</t>
        </is>
      </c>
    </row>
    <row r="21">
      <c r="A21" s="3" t="inlineStr">
        <is>
          <t>Entertainment</t>
        </is>
      </c>
      <c r="B21" s="10">
        <f>D11*$B$6/1000*(8-E11)</f>
        <v/>
      </c>
      <c r="C21" s="10">
        <f>D11*$B$6/1000*(10-E11)</f>
        <v/>
      </c>
    </row>
    <row r="22">
      <c r="A22" s="3" t="inlineStr">
        <is>
          <t>U.S.</t>
        </is>
      </c>
      <c r="B22" s="10">
        <f>D12*$B$6/1000*(8-E12)</f>
        <v/>
      </c>
      <c r="C22" s="10">
        <f>D12*$B$6/1000*(10-E12)</f>
        <v/>
      </c>
    </row>
    <row r="23">
      <c r="A23" s="3" t="inlineStr">
        <is>
          <t>Health</t>
        </is>
      </c>
      <c r="B23" s="10">
        <f>D13*$B$6/1000*(8-E13)</f>
        <v/>
      </c>
      <c r="C23" s="10">
        <f>D13*$B$6/1000*(10-E13)</f>
        <v/>
      </c>
    </row>
    <row r="24">
      <c r="A24" s="3" t="inlineStr">
        <is>
          <t>Science &amp; Tech</t>
        </is>
      </c>
      <c r="B24" s="10">
        <f>D14*$B$6/1000*(8-E14)</f>
        <v/>
      </c>
      <c r="C24" s="10">
        <f>D14*$B$6/1000*(10-E14)</f>
        <v/>
      </c>
    </row>
    <row r="25">
      <c r="A25" s="12" t="inlineStr">
        <is>
          <t>TOTAL</t>
        </is>
      </c>
      <c r="B25" s="15">
        <f>SUM(B21:B24)</f>
        <v/>
      </c>
      <c r="C25" s="15">
        <f>SUM(C21:C24)</f>
        <v/>
      </c>
    </row>
    <row r="27">
      <c r="A27" s="2" t="inlineStr">
        <is>
          <t>30 / 60 / 90-day ramp (PG/PD @ $8, blended across sections)</t>
        </is>
      </c>
    </row>
    <row r="28">
      <c r="A28" s="18" t="inlineStr">
        <is>
          <t>Period</t>
        </is>
      </c>
      <c r="B28" s="18" t="inlineStr">
        <is>
          <t>Stage</t>
        </is>
      </c>
      <c r="C28" s="18" t="inlineStr">
        <is>
          <t>% activated</t>
        </is>
      </c>
      <c r="D28" s="18" t="inlineStr">
        <is>
          <t>Prog. imp activated /mo</t>
        </is>
      </c>
      <c r="E28" s="18" t="inlineStr">
        <is>
          <t>Est. PG/PD revenue /mo</t>
        </is>
      </c>
      <c r="F28" s="18" t="inlineStr">
        <is>
          <t>Incremental uplift /mo</t>
        </is>
      </c>
    </row>
    <row r="29">
      <c r="A29" s="3" t="inlineStr">
        <is>
          <t>30 days</t>
        </is>
      </c>
      <c r="B29" s="3" t="inlineStr">
        <is>
          <t>Small pilot</t>
        </is>
      </c>
      <c r="C29" s="19">
        <f>$B$5</f>
        <v/>
      </c>
      <c r="D29" s="9">
        <f>D15*$B$5</f>
        <v/>
      </c>
      <c r="E29" s="10">
        <f>D15*$B$5*8/1000</f>
        <v/>
      </c>
      <c r="F29" s="10">
        <f>D15*$B$5*(8-(C11+C12+C13+C14)/(B11+B12+B13+B14)*1000)/1000</f>
        <v/>
      </c>
    </row>
    <row r="30">
      <c r="A30" s="3" t="inlineStr">
        <is>
          <t>60 days</t>
        </is>
      </c>
      <c r="B30" s="3" t="inlineStr">
        <is>
          <t>Broader rollout</t>
        </is>
      </c>
      <c r="C30" s="19">
        <f>$B$6</f>
        <v/>
      </c>
      <c r="D30" s="9">
        <f>D15*$B$6</f>
        <v/>
      </c>
      <c r="E30" s="10">
        <f>D15*$B$6*8/1000</f>
        <v/>
      </c>
      <c r="F30" s="10">
        <f>D15*$B$6*(8-(C11+C12+C13+C14)/(B11+B12+B13+B14)*1000)/1000</f>
        <v/>
      </c>
    </row>
    <row r="31">
      <c r="A31" s="3" t="inlineStr">
        <is>
          <t>90 days</t>
        </is>
      </c>
      <c r="B31" s="3" t="inlineStr">
        <is>
          <t>Scaled rollout</t>
        </is>
      </c>
      <c r="C31" s="19">
        <f>$B$7</f>
        <v/>
      </c>
      <c r="D31" s="9">
        <f>D15*$B$7</f>
        <v/>
      </c>
      <c r="E31" s="10">
        <f>D15*$B$7*8/1000</f>
        <v/>
      </c>
      <c r="F31" s="10">
        <f>D15*$B$7*(8-(C11+C12+C13+C14)/(B11+B12+B13+B14)*1000)/1000</f>
        <v/>
      </c>
    </row>
    <row r="33">
      <c r="A33" s="20" t="inlineStr">
        <is>
          <t>Note: World (a Monica priority) and Politics are NOT in this dataset; adding them will materially increase the totals. % shift = share of PROGRAMMATIC impressions moved to PG/PD.</t>
        </is>
      </c>
    </row>
  </sheetData>
  <mergeCells count="2">
    <mergeCell ref="A33:I3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2026-07-01T19:15:17Z</dcterms:created>
  <dcterms:modified xsi:type="dcterms:W3CDTF">2026-07-01T19:15:17Z</dcterms:modified>
</cp:coreProperties>
</file>