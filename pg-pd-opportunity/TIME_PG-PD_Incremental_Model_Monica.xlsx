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remental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B5C65"/>
      <sz val="10"/>
    </font>
    <font>
      <name val="Calibri"/>
      <color rgb="001F2A30"/>
      <sz val="10"/>
    </font>
    <font>
      <name val="Calibri"/>
      <b val="1"/>
      <color rgb="001F2A30"/>
      <sz val="10"/>
    </font>
    <font>
      <name val="Calibri"/>
      <b val="1"/>
      <color rgb="00FFFFFF"/>
      <sz val="9"/>
    </font>
    <font>
      <name val="Calibri"/>
      <color rgb="001F2A30"/>
      <sz val="9.5"/>
    </font>
  </fonts>
  <fills count="6">
    <fill>
      <patternFill/>
    </fill>
    <fill>
      <patternFill patternType="gray125"/>
    </fill>
    <fill>
      <patternFill patternType="solid">
        <fgColor rgb="000B5C65"/>
      </patternFill>
    </fill>
    <fill>
      <patternFill patternType="solid">
        <fgColor rgb="00FCEFCB"/>
      </patternFill>
    </fill>
    <fill>
      <patternFill patternType="solid">
        <fgColor rgb="00DCEAEC"/>
      </patternFill>
    </fill>
    <fill>
      <patternFill patternType="solid">
        <fgColor rgb="000F7D88"/>
      </patternFill>
    </fill>
  </fills>
  <borders count="2">
    <border>
      <left/>
      <right/>
      <top/>
      <bottom/>
      <diagonal/>
    </border>
    <border>
      <left style="thin">
        <color rgb="00C9D2D4"/>
      </left>
      <right style="thin">
        <color rgb="00C9D2D4"/>
      </right>
      <top style="thin">
        <color rgb="00C9D2D4"/>
      </top>
      <bottom style="thin">
        <color rgb="00C9D2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4" customWidth="1" min="5" max="5"/>
    <col width="10" customWidth="1" min="6" max="6"/>
    <col width="16" customWidth="1" min="7" max="7"/>
    <col width="16" customWidth="1" min="8" max="8"/>
  </cols>
  <sheetData>
    <row r="1" ht="22" customHeight="1">
      <c r="A1" s="1" t="inlineStr">
        <is>
          <t>TIME | PG/PD Incremental Revenue Model — Section × Slot (Monica format)</t>
        </is>
      </c>
    </row>
    <row r="3">
      <c r="A3" s="2" t="inlineStr">
        <is>
          <t>Assumptions (editable)</t>
        </is>
      </c>
    </row>
    <row r="4">
      <c r="A4" s="3" t="inlineStr">
        <is>
          <t>PG/PD eCPM – low ($)</t>
        </is>
      </c>
      <c r="B4" s="4" t="n">
        <v>8</v>
      </c>
    </row>
    <row r="5">
      <c r="A5" s="3" t="inlineStr">
        <is>
          <t>PG/PD eCPM – high ($)</t>
        </is>
      </c>
      <c r="B5" s="4" t="n">
        <v>10</v>
      </c>
    </row>
    <row r="6">
      <c r="A6" s="3" t="inlineStr">
        <is>
          <t>% shifted (base)</t>
        </is>
      </c>
      <c r="B6" s="5" t="n">
        <v>0.1</v>
      </c>
    </row>
    <row r="8" ht="30" customHeight="1">
      <c r="A8" s="6" t="inlineStr">
        <is>
          <t>Section</t>
        </is>
      </c>
      <c r="B8" s="6" t="inlineStr">
        <is>
          <t>Slot</t>
        </is>
      </c>
      <c r="C8" s="6" t="inlineStr">
        <is>
          <t>Current prog. impressions (mo)</t>
        </is>
      </c>
      <c r="D8" s="6" t="inlineStr">
        <is>
          <t>Current prog. eCPM</t>
        </is>
      </c>
      <c r="E8" s="6" t="inlineStr">
        <is>
          <t>Proposed PG/PD eCPM</t>
        </is>
      </c>
      <c r="F8" s="6" t="inlineStr">
        <is>
          <t>% shifted</t>
        </is>
      </c>
      <c r="G8" s="6" t="inlineStr">
        <is>
          <t>Incremental monthly rev @ low</t>
        </is>
      </c>
      <c r="H8" s="6" t="inlineStr">
        <is>
          <t>Incremental monthly rev @ high</t>
        </is>
      </c>
    </row>
    <row r="9">
      <c r="A9" s="7" t="inlineStr">
        <is>
          <t>Entertainment</t>
        </is>
      </c>
      <c r="B9" s="7" t="inlineStr">
        <is>
          <t>stickyfooter1</t>
        </is>
      </c>
      <c r="C9" s="8" t="n">
        <v>9482169</v>
      </c>
      <c r="D9" s="9" t="n">
        <v>1.92</v>
      </c>
      <c r="E9" s="10">
        <f>$B$4&amp;" – "&amp;$B$5</f>
        <v/>
      </c>
      <c r="F9" s="11">
        <f>$B$6</f>
        <v/>
      </c>
      <c r="G9" s="12">
        <f>C9*F9/1000*($B$4-D9)</f>
        <v/>
      </c>
      <c r="H9" s="12">
        <f>C9*F9/1000*($B$5-D9)</f>
        <v/>
      </c>
    </row>
    <row r="10">
      <c r="A10" s="7" t="inlineStr">
        <is>
          <t>Entertainment</t>
        </is>
      </c>
      <c r="B10" s="7" t="inlineStr">
        <is>
          <t>inline1</t>
        </is>
      </c>
      <c r="C10" s="8" t="n">
        <v>2326181</v>
      </c>
      <c r="D10" s="9" t="n">
        <v>2.93</v>
      </c>
      <c r="E10" s="10">
        <f>$B$4&amp;" – "&amp;$B$5</f>
        <v/>
      </c>
      <c r="F10" s="11">
        <f>$B$6</f>
        <v/>
      </c>
      <c r="G10" s="12">
        <f>C10*F10/1000*($B$4-D10)</f>
        <v/>
      </c>
      <c r="H10" s="12">
        <f>C10*F10/1000*($B$5-D10)</f>
        <v/>
      </c>
    </row>
    <row r="11">
      <c r="A11" s="7" t="inlineStr">
        <is>
          <t>Entertainment</t>
        </is>
      </c>
      <c r="B11" s="7" t="inlineStr">
        <is>
          <t>inline2</t>
        </is>
      </c>
      <c r="C11" s="8" t="n">
        <v>2184060</v>
      </c>
      <c r="D11" s="9" t="n">
        <v>2.64</v>
      </c>
      <c r="E11" s="10">
        <f>$B$4&amp;" – "&amp;$B$5</f>
        <v/>
      </c>
      <c r="F11" s="11">
        <f>$B$6</f>
        <v/>
      </c>
      <c r="G11" s="12">
        <f>C11*F11/1000*($B$4-D11)</f>
        <v/>
      </c>
      <c r="H11" s="12">
        <f>C11*F11/1000*($B$5-D11)</f>
        <v/>
      </c>
    </row>
    <row r="12">
      <c r="A12" s="7" t="inlineStr">
        <is>
          <t>Entertainment</t>
        </is>
      </c>
      <c r="B12" s="7" t="inlineStr">
        <is>
          <t>inline3</t>
        </is>
      </c>
      <c r="C12" s="8" t="n">
        <v>2003865</v>
      </c>
      <c r="D12" s="9" t="n">
        <v>2.55</v>
      </c>
      <c r="E12" s="10">
        <f>$B$4&amp;" – "&amp;$B$5</f>
        <v/>
      </c>
      <c r="F12" s="11">
        <f>$B$6</f>
        <v/>
      </c>
      <c r="G12" s="12">
        <f>C12*F12/1000*($B$4-D12)</f>
        <v/>
      </c>
      <c r="H12" s="12">
        <f>C12*F12/1000*($B$5-D12)</f>
        <v/>
      </c>
    </row>
    <row r="13">
      <c r="A13" s="7" t="inlineStr">
        <is>
          <t>Entertainment</t>
        </is>
      </c>
      <c r="B13" s="7" t="inlineStr">
        <is>
          <t>rightrail1</t>
        </is>
      </c>
      <c r="C13" s="8" t="n">
        <v>969356</v>
      </c>
      <c r="D13" s="9" t="n">
        <v>2.88</v>
      </c>
      <c r="E13" s="10">
        <f>$B$4&amp;" – "&amp;$B$5</f>
        <v/>
      </c>
      <c r="F13" s="11">
        <f>$B$6</f>
        <v/>
      </c>
      <c r="G13" s="12">
        <f>C13*F13/1000*($B$4-D13)</f>
        <v/>
      </c>
      <c r="H13" s="12">
        <f>C13*F13/1000*($B$5-D13)</f>
        <v/>
      </c>
    </row>
    <row r="14">
      <c r="A14" s="7" t="inlineStr">
        <is>
          <t>Health</t>
        </is>
      </c>
      <c r="B14" s="7" t="inlineStr">
        <is>
          <t>stickyfooter1</t>
        </is>
      </c>
      <c r="C14" s="8" t="n">
        <v>4037034</v>
      </c>
      <c r="D14" s="9" t="n">
        <v>2.53</v>
      </c>
      <c r="E14" s="10">
        <f>$B$4&amp;" – "&amp;$B$5</f>
        <v/>
      </c>
      <c r="F14" s="11">
        <f>$B$6</f>
        <v/>
      </c>
      <c r="G14" s="12">
        <f>C14*F14/1000*($B$4-D14)</f>
        <v/>
      </c>
      <c r="H14" s="12">
        <f>C14*F14/1000*($B$5-D14)</f>
        <v/>
      </c>
    </row>
    <row r="15">
      <c r="A15" s="7" t="inlineStr">
        <is>
          <t>Health</t>
        </is>
      </c>
      <c r="B15" s="7" t="inlineStr">
        <is>
          <t>inline3</t>
        </is>
      </c>
      <c r="C15" s="8" t="n">
        <v>986088</v>
      </c>
      <c r="D15" s="9" t="n">
        <v>4.11</v>
      </c>
      <c r="E15" s="10">
        <f>$B$4&amp;" – "&amp;$B$5</f>
        <v/>
      </c>
      <c r="F15" s="11">
        <f>$B$6</f>
        <v/>
      </c>
      <c r="G15" s="12">
        <f>C15*F15/1000*($B$4-D15)</f>
        <v/>
      </c>
      <c r="H15" s="12">
        <f>C15*F15/1000*($B$5-D15)</f>
        <v/>
      </c>
    </row>
    <row r="16">
      <c r="A16" s="7" t="inlineStr">
        <is>
          <t>Science</t>
        </is>
      </c>
      <c r="B16" s="7" t="inlineStr">
        <is>
          <t>stickyfooter1</t>
        </is>
      </c>
      <c r="C16" s="8" t="n">
        <v>401265</v>
      </c>
      <c r="D16" s="9" t="n">
        <v>2.65</v>
      </c>
      <c r="E16" s="10">
        <f>$B$4&amp;" – "&amp;$B$5</f>
        <v/>
      </c>
      <c r="F16" s="11">
        <f>$B$6</f>
        <v/>
      </c>
      <c r="G16" s="12">
        <f>C16*F16/1000*($B$4-D16)</f>
        <v/>
      </c>
      <c r="H16" s="12">
        <f>C16*F16/1000*($B$5-D16)</f>
        <v/>
      </c>
    </row>
    <row r="17">
      <c r="A17" s="7" t="inlineStr">
        <is>
          <t>Science</t>
        </is>
      </c>
      <c r="B17" s="7" t="inlineStr">
        <is>
          <t>inline1</t>
        </is>
      </c>
      <c r="C17" s="8" t="n">
        <v>256049</v>
      </c>
      <c r="D17" s="9" t="n">
        <v>3.19</v>
      </c>
      <c r="E17" s="10">
        <f>$B$4&amp;" – "&amp;$B$5</f>
        <v/>
      </c>
      <c r="F17" s="11">
        <f>$B$6</f>
        <v/>
      </c>
      <c r="G17" s="12">
        <f>C17*F17/1000*($B$4-D17)</f>
        <v/>
      </c>
      <c r="H17" s="12">
        <f>C17*F17/1000*($B$5-D17)</f>
        <v/>
      </c>
    </row>
    <row r="18">
      <c r="A18" s="7" t="inlineStr">
        <is>
          <t>Science</t>
        </is>
      </c>
      <c r="B18" s="7" t="inlineStr">
        <is>
          <t>inline2</t>
        </is>
      </c>
      <c r="C18" s="8" t="n">
        <v>209279</v>
      </c>
      <c r="D18" s="9" t="n">
        <v>2.89</v>
      </c>
      <c r="E18" s="10">
        <f>$B$4&amp;" – "&amp;$B$5</f>
        <v/>
      </c>
      <c r="F18" s="11">
        <f>$B$6</f>
        <v/>
      </c>
      <c r="G18" s="12">
        <f>C18*F18/1000*($B$4-D18)</f>
        <v/>
      </c>
      <c r="H18" s="12">
        <f>C18*F18/1000*($B$5-D18)</f>
        <v/>
      </c>
    </row>
    <row r="19">
      <c r="A19" s="7" t="inlineStr">
        <is>
          <t>Science</t>
        </is>
      </c>
      <c r="B19" s="7" t="inlineStr">
        <is>
          <t>inline3</t>
        </is>
      </c>
      <c r="C19" s="8" t="n">
        <v>156205</v>
      </c>
      <c r="D19" s="9" t="n">
        <v>2.77</v>
      </c>
      <c r="E19" s="10">
        <f>$B$4&amp;" – "&amp;$B$5</f>
        <v/>
      </c>
      <c r="F19" s="11">
        <f>$B$6</f>
        <v/>
      </c>
      <c r="G19" s="12">
        <f>C19*F19/1000*($B$4-D19)</f>
        <v/>
      </c>
      <c r="H19" s="12">
        <f>C19*F19/1000*($B$5-D19)</f>
        <v/>
      </c>
    </row>
    <row r="20">
      <c r="A20" s="7" t="inlineStr">
        <is>
          <t>Science</t>
        </is>
      </c>
      <c r="B20" s="7" t="inlineStr">
        <is>
          <t>rightrail1</t>
        </is>
      </c>
      <c r="C20" s="8" t="n">
        <v>114289</v>
      </c>
      <c r="D20" s="9" t="n">
        <v>3.06</v>
      </c>
      <c r="E20" s="10">
        <f>$B$4&amp;" – "&amp;$B$5</f>
        <v/>
      </c>
      <c r="F20" s="11">
        <f>$B$6</f>
        <v/>
      </c>
      <c r="G20" s="12">
        <f>C20*F20/1000*($B$4-D20)</f>
        <v/>
      </c>
      <c r="H20" s="12">
        <f>C20*F20/1000*($B$5-D20)</f>
        <v/>
      </c>
    </row>
    <row r="21">
      <c r="A21" s="7" t="inlineStr">
        <is>
          <t>Tech</t>
        </is>
      </c>
      <c r="B21" s="7" t="inlineStr">
        <is>
          <t>stickyfooter1</t>
        </is>
      </c>
      <c r="C21" s="8" t="n">
        <v>545072</v>
      </c>
      <c r="D21" s="9" t="n">
        <v>2.62</v>
      </c>
      <c r="E21" s="10">
        <f>$B$4&amp;" – "&amp;$B$5</f>
        <v/>
      </c>
      <c r="F21" s="11">
        <f>$B$6</f>
        <v/>
      </c>
      <c r="G21" s="12">
        <f>C21*F21/1000*($B$4-D21)</f>
        <v/>
      </c>
      <c r="H21" s="12">
        <f>C21*F21/1000*($B$5-D21)</f>
        <v/>
      </c>
    </row>
    <row r="22">
      <c r="A22" s="7" t="inlineStr">
        <is>
          <t>U.S.</t>
        </is>
      </c>
      <c r="B22" s="7" t="inlineStr">
        <is>
          <t>stickyfooter1</t>
        </is>
      </c>
      <c r="C22" s="8" t="n">
        <v>3845660</v>
      </c>
      <c r="D22" s="9" t="n">
        <v>2.13</v>
      </c>
      <c r="E22" s="10">
        <f>$B$4&amp;" – "&amp;$B$5</f>
        <v/>
      </c>
      <c r="F22" s="11">
        <f>$B$6</f>
        <v/>
      </c>
      <c r="G22" s="12">
        <f>C22*F22/1000*($B$4-D22)</f>
        <v/>
      </c>
      <c r="H22" s="12">
        <f>C22*F22/1000*($B$5-D22)</f>
        <v/>
      </c>
    </row>
    <row r="23">
      <c r="A23" s="7" t="inlineStr">
        <is>
          <t>U.S.</t>
        </is>
      </c>
      <c r="B23" s="7" t="inlineStr">
        <is>
          <t>inline1</t>
        </is>
      </c>
      <c r="C23" s="8" t="n">
        <v>866202</v>
      </c>
      <c r="D23" s="9" t="n">
        <v>3.22</v>
      </c>
      <c r="E23" s="10">
        <f>$B$4&amp;" – "&amp;$B$5</f>
        <v/>
      </c>
      <c r="F23" s="11">
        <f>$B$6</f>
        <v/>
      </c>
      <c r="G23" s="12">
        <f>C23*F23/1000*($B$4-D23)</f>
        <v/>
      </c>
      <c r="H23" s="12">
        <f>C23*F23/1000*($B$5-D23)</f>
        <v/>
      </c>
    </row>
    <row r="24">
      <c r="A24" s="7" t="inlineStr">
        <is>
          <t>U.S.</t>
        </is>
      </c>
      <c r="B24" s="7" t="inlineStr">
        <is>
          <t>inline2</t>
        </is>
      </c>
      <c r="C24" s="8" t="n">
        <v>663860</v>
      </c>
      <c r="D24" s="9" t="n">
        <v>2.85</v>
      </c>
      <c r="E24" s="10">
        <f>$B$4&amp;" – "&amp;$B$5</f>
        <v/>
      </c>
      <c r="F24" s="11">
        <f>$B$6</f>
        <v/>
      </c>
      <c r="G24" s="12">
        <f>C24*F24/1000*($B$4-D24)</f>
        <v/>
      </c>
      <c r="H24" s="12">
        <f>C24*F24/1000*($B$5-D24)</f>
        <v/>
      </c>
    </row>
    <row r="25">
      <c r="A25" s="7" t="inlineStr">
        <is>
          <t>U.S.</t>
        </is>
      </c>
      <c r="B25" s="7" t="inlineStr">
        <is>
          <t>rightrail1</t>
        </is>
      </c>
      <c r="C25" s="8" t="n">
        <v>535477</v>
      </c>
      <c r="D25" s="9" t="n">
        <v>2.65</v>
      </c>
      <c r="E25" s="10">
        <f>$B$4&amp;" – "&amp;$B$5</f>
        <v/>
      </c>
      <c r="F25" s="11">
        <f>$B$6</f>
        <v/>
      </c>
      <c r="G25" s="12">
        <f>C25*F25/1000*($B$4-D25)</f>
        <v/>
      </c>
      <c r="H25" s="12">
        <f>C25*F25/1000*($B$5-D25)</f>
        <v/>
      </c>
    </row>
    <row r="26">
      <c r="A26" s="7" t="inlineStr">
        <is>
          <t>U.S.</t>
        </is>
      </c>
      <c r="B26" s="7" t="inlineStr">
        <is>
          <t>inline3</t>
        </is>
      </c>
      <c r="C26" s="8" t="n">
        <v>471880</v>
      </c>
      <c r="D26" s="9" t="n">
        <v>2.66</v>
      </c>
      <c r="E26" s="10">
        <f>$B$4&amp;" – "&amp;$B$5</f>
        <v/>
      </c>
      <c r="F26" s="11">
        <f>$B$6</f>
        <v/>
      </c>
      <c r="G26" s="12">
        <f>C26*F26/1000*($B$4-D26)</f>
        <v/>
      </c>
      <c r="H26" s="12">
        <f>C26*F26/1000*($B$5-D26)</f>
        <v/>
      </c>
    </row>
    <row r="27">
      <c r="A27" s="13" t="inlineStr">
        <is>
          <t>ALL TARGETS</t>
        </is>
      </c>
      <c r="B27" s="14" t="inlineStr"/>
      <c r="C27" s="15">
        <f>SUM(C9:C26)</f>
        <v/>
      </c>
      <c r="D27" s="16">
        <f>SUMPRODUCT(C9:C26,D9:D26)/C27</f>
        <v/>
      </c>
      <c r="E27" s="14" t="inlineStr"/>
      <c r="F27" s="17">
        <f>$B$6</f>
        <v/>
      </c>
      <c r="G27" s="18">
        <f>SUM(G9:G26)</f>
        <v/>
      </c>
      <c r="H27" s="18">
        <f>SUM(H9:H26)</f>
        <v/>
      </c>
    </row>
    <row r="29">
      <c r="A29" s="2" t="inlineStr">
        <is>
          <t>Scenarios (recompute from the % cell above)</t>
        </is>
      </c>
    </row>
    <row r="30">
      <c r="A30" s="19" t="inlineStr">
        <is>
          <t>Scenario</t>
        </is>
      </c>
      <c r="B30" s="19" t="inlineStr">
        <is>
          <t>Shift %</t>
        </is>
      </c>
      <c r="C30" s="19" t="inlineStr">
        <is>
          <t>Incremental / mo @ low</t>
        </is>
      </c>
      <c r="D30" s="19" t="inlineStr">
        <is>
          <t>Incremental / mo @ high</t>
        </is>
      </c>
      <c r="E30" s="19" t="inlineStr">
        <is>
          <t>Annualized @ low</t>
        </is>
      </c>
      <c r="F30" s="19" t="inlineStr">
        <is>
          <t>Annualized @ high</t>
        </is>
      </c>
    </row>
    <row r="31">
      <c r="A31" s="20" t="inlineStr">
        <is>
          <t>Low</t>
        </is>
      </c>
      <c r="B31" s="21" t="n">
        <v>0.05</v>
      </c>
      <c r="C31" s="22">
        <f>C27*B31/1000*($B$4-D27)</f>
        <v/>
      </c>
      <c r="D31" s="22">
        <f>C27*B31/1000*($B$5-D27)</f>
        <v/>
      </c>
      <c r="E31" s="22">
        <f>C31*12</f>
        <v/>
      </c>
      <c r="F31" s="22">
        <f>D31*12</f>
        <v/>
      </c>
    </row>
    <row r="32">
      <c r="A32" s="20" t="inlineStr">
        <is>
          <t>Base</t>
        </is>
      </c>
      <c r="B32" s="21" t="n">
        <v>0.1</v>
      </c>
      <c r="C32" s="22">
        <f>C27*B32/1000*($B$4-D27)</f>
        <v/>
      </c>
      <c r="D32" s="22">
        <f>C27*B32/1000*($B$5-D27)</f>
        <v/>
      </c>
      <c r="E32" s="22">
        <f>C32*12</f>
        <v/>
      </c>
      <c r="F32" s="22">
        <f>D32*12</f>
        <v/>
      </c>
    </row>
    <row r="33">
      <c r="A33" s="20" t="inlineStr">
        <is>
          <t>High</t>
        </is>
      </c>
      <c r="B33" s="21" t="n">
        <v>0.15</v>
      </c>
      <c r="C33" s="22">
        <f>C27*B33/1000*($B$4-D27)</f>
        <v/>
      </c>
      <c r="D33" s="22">
        <f>C27*B33/1000*($B$5-D27)</f>
        <v/>
      </c>
      <c r="E33" s="22">
        <f>C33*12</f>
        <v/>
      </c>
      <c r="F33" s="22">
        <f>D33*12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2026-07-02T00:00:53Z</dcterms:created>
  <dcterms:modified xmlns:dcterms="http://purl.org/dc/terms/" xmlns:xsi="http://www.w3.org/2001/XMLSchema-instance" xsi:type="dcterms:W3CDTF">2026-07-02T00:00:53Z</dcterms:modified>
</cp:coreProperties>
</file>