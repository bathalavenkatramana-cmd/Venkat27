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ot-wise PG-PD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#,##0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0B5C65"/>
      <sz val="11"/>
    </font>
    <font>
      <name val="Calibri"/>
      <color rgb="001F2A30"/>
      <sz val="10"/>
    </font>
    <font>
      <name val="Calibri"/>
      <b val="1"/>
      <color rgb="001F2A30"/>
      <sz val="10"/>
    </font>
    <font>
      <name val="Calibri"/>
      <b val="1"/>
      <color rgb="00FFFFFF"/>
      <sz val="9"/>
    </font>
    <font>
      <name val="Calibri"/>
      <b val="1"/>
      <color rgb="00FFFFFF"/>
      <sz val="8.5"/>
    </font>
    <font>
      <name val="Calibri"/>
      <color rgb="001F2A30"/>
      <sz val="9.5"/>
    </font>
    <font>
      <name val="Calibri"/>
      <b val="1"/>
      <color rgb="00FFFFFF"/>
      <sz val="10"/>
    </font>
    <font>
      <name val="Calibri"/>
      <b val="1"/>
      <color rgb="000B5C65"/>
      <sz val="10"/>
    </font>
    <font>
      <name val="Calibri"/>
      <color rgb="008A6D1F"/>
      <sz val="9"/>
    </font>
  </fonts>
  <fills count="7">
    <fill>
      <patternFill/>
    </fill>
    <fill>
      <patternFill patternType="gray125"/>
    </fill>
    <fill>
      <patternFill patternType="solid">
        <fgColor rgb="000B5C65"/>
      </patternFill>
    </fill>
    <fill>
      <patternFill patternType="solid">
        <fgColor rgb="00FCEFCB"/>
      </patternFill>
    </fill>
    <fill>
      <patternFill patternType="solid">
        <fgColor rgb="000F7D88"/>
      </patternFill>
    </fill>
    <fill>
      <patternFill patternType="solid">
        <fgColor rgb="00DCEAEC"/>
      </patternFill>
    </fill>
    <fill>
      <patternFill patternType="solid">
        <fgColor rgb="00FFF7E6"/>
      </patternFill>
    </fill>
  </fills>
  <borders count="2">
    <border>
      <left/>
      <right/>
      <top/>
      <bottom/>
      <diagonal/>
    </border>
    <border>
      <left style="thin">
        <color rgb="00C9D2D4"/>
      </left>
      <right style="thin">
        <color rgb="00C9D2D4"/>
      </right>
      <top style="thin">
        <color rgb="00C9D2D4"/>
      </top>
      <bottom style="thin">
        <color rgb="00C9D2D4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9" fontId="4" fillId="3" borderId="1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3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0" fontId="8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3" fontId="8" fillId="2" borderId="1" applyAlignment="1" pivotButton="0" quotePrefix="0" xfId="0">
      <alignment horizontal="right" vertical="center"/>
    </xf>
    <xf numFmtId="164" fontId="8" fillId="2" borderId="1" applyAlignment="1" pivotButton="0" quotePrefix="0" xfId="0">
      <alignment horizontal="right" vertical="center"/>
    </xf>
    <xf numFmtId="165" fontId="8" fillId="2" borderId="1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/>
    </xf>
    <xf numFmtId="165" fontId="4" fillId="3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9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right" vertical="center"/>
    </xf>
    <xf numFmtId="0" fontId="10" fillId="6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7" customWidth="1" min="3" max="3"/>
    <col width="15" customWidth="1" min="4" max="4"/>
    <col width="12" customWidth="1" min="5" max="5"/>
    <col width="14" customWidth="1" min="6" max="6"/>
    <col width="15" customWidth="1" min="7" max="7"/>
    <col width="12" customWidth="1" min="8" max="8"/>
    <col width="12" customWidth="1" min="9" max="9"/>
    <col width="13" customWidth="1" min="10" max="10"/>
    <col width="13" customWidth="1" min="11" max="11"/>
  </cols>
  <sheetData>
    <row r="1" ht="24" customHeight="1">
      <c r="A1" s="1" t="inlineStr">
        <is>
          <t>TIME  |  PG/PD Incremental Revenue Model — Slot-wise (Section × Slot), US, Top-6 Slots</t>
        </is>
      </c>
    </row>
    <row r="3">
      <c r="A3" s="2" t="inlineStr">
        <is>
          <t>Assumptions (editable — everything below recalculates)</t>
        </is>
      </c>
    </row>
    <row r="4">
      <c r="A4" s="3" t="inlineStr">
        <is>
          <t>Months in reference period</t>
        </is>
      </c>
      <c r="B4" s="4" t="n">
        <v>18</v>
      </c>
    </row>
    <row r="5">
      <c r="A5" s="3" t="inlineStr">
        <is>
          <t>PG/PD price A (eCPM)</t>
        </is>
      </c>
      <c r="B5" s="5" t="n">
        <v>8</v>
      </c>
    </row>
    <row r="6">
      <c r="A6" s="3" t="inlineStr">
        <is>
          <t>PG/PD price B (eCPM)</t>
        </is>
      </c>
      <c r="B6" s="5" t="n">
        <v>10</v>
      </c>
    </row>
    <row r="7">
      <c r="A7" s="3" t="inlineStr">
        <is>
          <t>Low case — % programmatic shifted</t>
        </is>
      </c>
      <c r="B7" s="6" t="n">
        <v>0.05</v>
      </c>
    </row>
    <row r="8">
      <c r="A8" s="3" t="inlineStr">
        <is>
          <t>Base case — % shifted</t>
        </is>
      </c>
      <c r="B8" s="6" t="n">
        <v>0.1</v>
      </c>
    </row>
    <row r="9">
      <c r="A9" s="3" t="inlineStr">
        <is>
          <t>High case — % shifted</t>
        </is>
      </c>
      <c r="B9" s="6" t="n">
        <v>0.15</v>
      </c>
    </row>
    <row r="11">
      <c r="A11" s="2" t="inlineStr">
        <is>
          <t>Current programmatic eCPM rate card (by section — editable)</t>
        </is>
      </c>
    </row>
    <row r="12">
      <c r="A12" s="7" t="inlineStr">
        <is>
          <t>Section</t>
        </is>
      </c>
      <c r="B12" s="8" t="inlineStr">
        <is>
          <t>Prog. eCPM</t>
        </is>
      </c>
    </row>
    <row r="13">
      <c r="A13" s="3" t="inlineStr">
        <is>
          <t>Entertainment</t>
        </is>
      </c>
      <c r="B13" s="5" t="n">
        <v>2.36</v>
      </c>
    </row>
    <row r="14">
      <c r="A14" s="3" t="inlineStr">
        <is>
          <t>Health</t>
        </is>
      </c>
      <c r="B14" s="5" t="n">
        <v>4.04</v>
      </c>
    </row>
    <row r="15">
      <c r="A15" s="3" t="inlineStr">
        <is>
          <t>U.S.</t>
        </is>
      </c>
      <c r="B15" s="5" t="n">
        <v>2.63</v>
      </c>
    </row>
    <row r="16">
      <c r="A16" s="3" t="inlineStr">
        <is>
          <t>Tech</t>
        </is>
      </c>
      <c r="B16" s="5" t="n">
        <v>3.5</v>
      </c>
    </row>
    <row r="17">
      <c r="A17" s="3" t="inlineStr">
        <is>
          <t>Science</t>
        </is>
      </c>
      <c r="B17" s="5" t="n">
        <v>3.39</v>
      </c>
    </row>
    <row r="19" ht="34" customHeight="1">
      <c r="A19" s="9" t="inlineStr">
        <is>
          <t>Section</t>
        </is>
      </c>
      <c r="B19" s="9" t="inlineStr">
        <is>
          <t>Slot</t>
        </is>
      </c>
      <c r="C19" s="9" t="inlineStr">
        <is>
          <t>Prog. imp (period)</t>
        </is>
      </c>
      <c r="D19" s="9" t="inlineStr">
        <is>
          <t>Monthly prog. imp</t>
        </is>
      </c>
      <c r="E19" s="9" t="inlineStr">
        <is>
          <t>Current eCPM</t>
        </is>
      </c>
      <c r="F19" s="9" t="inlineStr">
        <is>
          <t>Current rev / mo</t>
        </is>
      </c>
      <c r="G19" s="9" t="inlineStr">
        <is>
          <t>Base-shift imp / mo</t>
        </is>
      </c>
      <c r="H19" s="9" t="inlineStr">
        <is>
          <t>Rev / mo @ A</t>
        </is>
      </c>
      <c r="I19" s="9" t="inlineStr">
        <is>
          <t>Rev / mo @ B</t>
        </is>
      </c>
      <c r="J19" s="9" t="inlineStr">
        <is>
          <t>Uplift / mo @ A</t>
        </is>
      </c>
      <c r="K19" s="9" t="inlineStr">
        <is>
          <t>Uplift / mo @ B</t>
        </is>
      </c>
    </row>
    <row r="20">
      <c r="A20" s="10" t="inlineStr">
        <is>
          <t>Entertainment</t>
        </is>
      </c>
      <c r="B20" s="10" t="inlineStr">
        <is>
          <t>stickyfooter1</t>
        </is>
      </c>
      <c r="C20" s="11" t="n">
        <v>47410845</v>
      </c>
      <c r="D20" s="11">
        <f>C20/$B$4</f>
        <v/>
      </c>
      <c r="E20" s="12">
        <f>$B$13</f>
        <v/>
      </c>
      <c r="F20" s="13">
        <f>D20*E20/1000</f>
        <v/>
      </c>
      <c r="G20" s="11">
        <f>D20*$B$8</f>
        <v/>
      </c>
      <c r="H20" s="13">
        <f>G20*$B$5/1000</f>
        <v/>
      </c>
      <c r="I20" s="13">
        <f>G20*$B$6/1000</f>
        <v/>
      </c>
      <c r="J20" s="13">
        <f>G20/1000*($B$5-E20)</f>
        <v/>
      </c>
      <c r="K20" s="13">
        <f>G20/1000*($B$6-E20)</f>
        <v/>
      </c>
    </row>
    <row r="21">
      <c r="A21" s="10" t="inlineStr">
        <is>
          <t>Entertainment</t>
        </is>
      </c>
      <c r="B21" s="10" t="inlineStr">
        <is>
          <t>leaderboard1</t>
        </is>
      </c>
      <c r="C21" s="11" t="n">
        <v>11875493</v>
      </c>
      <c r="D21" s="11">
        <f>C21/$B$4</f>
        <v/>
      </c>
      <c r="E21" s="12">
        <f>$B$13</f>
        <v/>
      </c>
      <c r="F21" s="13">
        <f>D21*E21/1000</f>
        <v/>
      </c>
      <c r="G21" s="11">
        <f>D21*$B$8</f>
        <v/>
      </c>
      <c r="H21" s="13">
        <f>G21*$B$5/1000</f>
        <v/>
      </c>
      <c r="I21" s="13">
        <f>G21*$B$6/1000</f>
        <v/>
      </c>
      <c r="J21" s="13">
        <f>G21/1000*($B$5-E21)</f>
        <v/>
      </c>
      <c r="K21" s="13">
        <f>G21/1000*($B$6-E21)</f>
        <v/>
      </c>
    </row>
    <row r="22">
      <c r="A22" s="10" t="inlineStr">
        <is>
          <t>Entertainment</t>
        </is>
      </c>
      <c r="B22" s="10" t="inlineStr">
        <is>
          <t>inline1</t>
        </is>
      </c>
      <c r="C22" s="11" t="n">
        <v>11630907</v>
      </c>
      <c r="D22" s="11">
        <f>C22/$B$4</f>
        <v/>
      </c>
      <c r="E22" s="12">
        <f>$B$13</f>
        <v/>
      </c>
      <c r="F22" s="13">
        <f>D22*E22/1000</f>
        <v/>
      </c>
      <c r="G22" s="11">
        <f>D22*$B$8</f>
        <v/>
      </c>
      <c r="H22" s="13">
        <f>G22*$B$5/1000</f>
        <v/>
      </c>
      <c r="I22" s="13">
        <f>G22*$B$6/1000</f>
        <v/>
      </c>
      <c r="J22" s="13">
        <f>G22/1000*($B$5-E22)</f>
        <v/>
      </c>
      <c r="K22" s="13">
        <f>G22/1000*($B$6-E22)</f>
        <v/>
      </c>
    </row>
    <row r="23">
      <c r="A23" s="10" t="inlineStr">
        <is>
          <t>Entertainment</t>
        </is>
      </c>
      <c r="B23" s="10" t="inlineStr">
        <is>
          <t>inline2</t>
        </is>
      </c>
      <c r="C23" s="11" t="n">
        <v>10920299</v>
      </c>
      <c r="D23" s="11">
        <f>C23/$B$4</f>
        <v/>
      </c>
      <c r="E23" s="12">
        <f>$B$13</f>
        <v/>
      </c>
      <c r="F23" s="13">
        <f>D23*E23/1000</f>
        <v/>
      </c>
      <c r="G23" s="11">
        <f>D23*$B$8</f>
        <v/>
      </c>
      <c r="H23" s="13">
        <f>G23*$B$5/1000</f>
        <v/>
      </c>
      <c r="I23" s="13">
        <f>G23*$B$6/1000</f>
        <v/>
      </c>
      <c r="J23" s="13">
        <f>G23/1000*($B$5-E23)</f>
        <v/>
      </c>
      <c r="K23" s="13">
        <f>G23/1000*($B$6-E23)</f>
        <v/>
      </c>
    </row>
    <row r="24">
      <c r="A24" s="10" t="inlineStr">
        <is>
          <t>Entertainment</t>
        </is>
      </c>
      <c r="B24" s="10" t="inlineStr">
        <is>
          <t>inline3</t>
        </is>
      </c>
      <c r="C24" s="11" t="n">
        <v>10019326</v>
      </c>
      <c r="D24" s="11">
        <f>C24/$B$4</f>
        <v/>
      </c>
      <c r="E24" s="12">
        <f>$B$13</f>
        <v/>
      </c>
      <c r="F24" s="13">
        <f>D24*E24/1000</f>
        <v/>
      </c>
      <c r="G24" s="11">
        <f>D24*$B$8</f>
        <v/>
      </c>
      <c r="H24" s="13">
        <f>G24*$B$5/1000</f>
        <v/>
      </c>
      <c r="I24" s="13">
        <f>G24*$B$6/1000</f>
        <v/>
      </c>
      <c r="J24" s="13">
        <f>G24/1000*($B$5-E24)</f>
        <v/>
      </c>
      <c r="K24" s="13">
        <f>G24/1000*($B$6-E24)</f>
        <v/>
      </c>
    </row>
    <row r="25">
      <c r="A25" s="10" t="inlineStr">
        <is>
          <t>Entertainment</t>
        </is>
      </c>
      <c r="B25" s="10" t="inlineStr">
        <is>
          <t>rightrail1</t>
        </is>
      </c>
      <c r="C25" s="11" t="n">
        <v>4846780</v>
      </c>
      <c r="D25" s="11">
        <f>C25/$B$4</f>
        <v/>
      </c>
      <c r="E25" s="12">
        <f>$B$13</f>
        <v/>
      </c>
      <c r="F25" s="13">
        <f>D25*E25/1000</f>
        <v/>
      </c>
      <c r="G25" s="11">
        <f>D25*$B$8</f>
        <v/>
      </c>
      <c r="H25" s="13">
        <f>G25*$B$5/1000</f>
        <v/>
      </c>
      <c r="I25" s="13">
        <f>G25*$B$6/1000</f>
        <v/>
      </c>
      <c r="J25" s="13">
        <f>G25/1000*($B$5-E25)</f>
        <v/>
      </c>
      <c r="K25" s="13">
        <f>G25/1000*($B$6-E25)</f>
        <v/>
      </c>
    </row>
    <row r="26">
      <c r="A26" s="14" t="inlineStr">
        <is>
          <t>Entertainment — subtotal</t>
        </is>
      </c>
      <c r="B26" s="15" t="inlineStr"/>
      <c r="C26" s="16">
        <f>SUM(C20:C25)</f>
        <v/>
      </c>
      <c r="D26" s="16">
        <f>SUM(D20:D25)</f>
        <v/>
      </c>
      <c r="E26" s="17">
        <f>F26/D26*1000</f>
        <v/>
      </c>
      <c r="F26" s="18">
        <f>SUM(F20:F25)</f>
        <v/>
      </c>
      <c r="G26" s="16">
        <f>SUM(G20:G25)</f>
        <v/>
      </c>
      <c r="H26" s="18">
        <f>SUM(H20:H25)</f>
        <v/>
      </c>
      <c r="I26" s="18">
        <f>SUM(I20:I25)</f>
        <v/>
      </c>
      <c r="J26" s="18">
        <f>SUM(J20:J25)</f>
        <v/>
      </c>
      <c r="K26" s="18">
        <f>SUM(K20:K25)</f>
        <v/>
      </c>
    </row>
    <row r="27">
      <c r="A27" s="10" t="inlineStr">
        <is>
          <t>Health</t>
        </is>
      </c>
      <c r="B27" s="10" t="inlineStr">
        <is>
          <t>stickyfooter1</t>
        </is>
      </c>
      <c r="C27" s="11" t="n">
        <v>20185172</v>
      </c>
      <c r="D27" s="11">
        <f>C27/$B$4</f>
        <v/>
      </c>
      <c r="E27" s="12">
        <f>$B$14</f>
        <v/>
      </c>
      <c r="F27" s="13">
        <f>D27*E27/1000</f>
        <v/>
      </c>
      <c r="G27" s="11">
        <f>D27*$B$8</f>
        <v/>
      </c>
      <c r="H27" s="13">
        <f>G27*$B$5/1000</f>
        <v/>
      </c>
      <c r="I27" s="13">
        <f>G27*$B$6/1000</f>
        <v/>
      </c>
      <c r="J27" s="13">
        <f>G27/1000*($B$5-E27)</f>
        <v/>
      </c>
      <c r="K27" s="13">
        <f>G27/1000*($B$6-E27)</f>
        <v/>
      </c>
    </row>
    <row r="28">
      <c r="A28" s="10" t="inlineStr">
        <is>
          <t>Health</t>
        </is>
      </c>
      <c r="B28" s="10" t="inlineStr">
        <is>
          <t>leaderboard1</t>
        </is>
      </c>
      <c r="C28" s="11" t="n">
        <v>7007562</v>
      </c>
      <c r="D28" s="11">
        <f>C28/$B$4</f>
        <v/>
      </c>
      <c r="E28" s="12">
        <f>$B$14</f>
        <v/>
      </c>
      <c r="F28" s="13">
        <f>D28*E28/1000</f>
        <v/>
      </c>
      <c r="G28" s="11">
        <f>D28*$B$8</f>
        <v/>
      </c>
      <c r="H28" s="13">
        <f>G28*$B$5/1000</f>
        <v/>
      </c>
      <c r="I28" s="13">
        <f>G28*$B$6/1000</f>
        <v/>
      </c>
      <c r="J28" s="13">
        <f>G28/1000*($B$5-E28)</f>
        <v/>
      </c>
      <c r="K28" s="13">
        <f>G28/1000*($B$6-E28)</f>
        <v/>
      </c>
    </row>
    <row r="29">
      <c r="A29" s="10" t="inlineStr">
        <is>
          <t>Health</t>
        </is>
      </c>
      <c r="B29" s="10" t="inlineStr">
        <is>
          <t>inline1</t>
        </is>
      </c>
      <c r="C29" s="11" t="n">
        <v>6850100</v>
      </c>
      <c r="D29" s="11">
        <f>C29/$B$4</f>
        <v/>
      </c>
      <c r="E29" s="12">
        <f>$B$14</f>
        <v/>
      </c>
      <c r="F29" s="13">
        <f>D29*E29/1000</f>
        <v/>
      </c>
      <c r="G29" s="11">
        <f>D29*$B$8</f>
        <v/>
      </c>
      <c r="H29" s="13">
        <f>G29*$B$5/1000</f>
        <v/>
      </c>
      <c r="I29" s="13">
        <f>G29*$B$6/1000</f>
        <v/>
      </c>
      <c r="J29" s="13">
        <f>G29/1000*($B$5-E29)</f>
        <v/>
      </c>
      <c r="K29" s="13">
        <f>G29/1000*($B$6-E29)</f>
        <v/>
      </c>
    </row>
    <row r="30">
      <c r="A30" s="10" t="inlineStr">
        <is>
          <t>Health</t>
        </is>
      </c>
      <c r="B30" s="10" t="inlineStr">
        <is>
          <t>inline2</t>
        </is>
      </c>
      <c r="C30" s="11" t="n">
        <v>5874817</v>
      </c>
      <c r="D30" s="11">
        <f>C30/$B$4</f>
        <v/>
      </c>
      <c r="E30" s="12">
        <f>$B$14</f>
        <v/>
      </c>
      <c r="F30" s="13">
        <f>D30*E30/1000</f>
        <v/>
      </c>
      <c r="G30" s="11">
        <f>D30*$B$8</f>
        <v/>
      </c>
      <c r="H30" s="13">
        <f>G30*$B$5/1000</f>
        <v/>
      </c>
      <c r="I30" s="13">
        <f>G30*$B$6/1000</f>
        <v/>
      </c>
      <c r="J30" s="13">
        <f>G30/1000*($B$5-E30)</f>
        <v/>
      </c>
      <c r="K30" s="13">
        <f>G30/1000*($B$6-E30)</f>
        <v/>
      </c>
    </row>
    <row r="31">
      <c r="A31" s="10" t="inlineStr">
        <is>
          <t>Health</t>
        </is>
      </c>
      <c r="B31" s="10" t="inlineStr">
        <is>
          <t>inline3</t>
        </is>
      </c>
      <c r="C31" s="11" t="n">
        <v>4930438</v>
      </c>
      <c r="D31" s="11">
        <f>C31/$B$4</f>
        <v/>
      </c>
      <c r="E31" s="12">
        <f>$B$14</f>
        <v/>
      </c>
      <c r="F31" s="13">
        <f>D31*E31/1000</f>
        <v/>
      </c>
      <c r="G31" s="11">
        <f>D31*$B$8</f>
        <v/>
      </c>
      <c r="H31" s="13">
        <f>G31*$B$5/1000</f>
        <v/>
      </c>
      <c r="I31" s="13">
        <f>G31*$B$6/1000</f>
        <v/>
      </c>
      <c r="J31" s="13">
        <f>G31/1000*($B$5-E31)</f>
        <v/>
      </c>
      <c r="K31" s="13">
        <f>G31/1000*($B$6-E31)</f>
        <v/>
      </c>
    </row>
    <row r="32">
      <c r="A32" s="10" t="inlineStr">
        <is>
          <t>Health</t>
        </is>
      </c>
      <c r="B32" s="10" t="inlineStr">
        <is>
          <t>rightrail1</t>
        </is>
      </c>
      <c r="C32" s="11" t="n">
        <v>4880198</v>
      </c>
      <c r="D32" s="11">
        <f>C32/$B$4</f>
        <v/>
      </c>
      <c r="E32" s="12">
        <f>$B$14</f>
        <v/>
      </c>
      <c r="F32" s="13">
        <f>D32*E32/1000</f>
        <v/>
      </c>
      <c r="G32" s="11">
        <f>D32*$B$8</f>
        <v/>
      </c>
      <c r="H32" s="13">
        <f>G32*$B$5/1000</f>
        <v/>
      </c>
      <c r="I32" s="13">
        <f>G32*$B$6/1000</f>
        <v/>
      </c>
      <c r="J32" s="13">
        <f>G32/1000*($B$5-E32)</f>
        <v/>
      </c>
      <c r="K32" s="13">
        <f>G32/1000*($B$6-E32)</f>
        <v/>
      </c>
    </row>
    <row r="33">
      <c r="A33" s="14" t="inlineStr">
        <is>
          <t>Health — subtotal</t>
        </is>
      </c>
      <c r="B33" s="15" t="inlineStr"/>
      <c r="C33" s="16">
        <f>SUM(C27:C32)</f>
        <v/>
      </c>
      <c r="D33" s="16">
        <f>SUM(D27:D32)</f>
        <v/>
      </c>
      <c r="E33" s="17">
        <f>F33/D33*1000</f>
        <v/>
      </c>
      <c r="F33" s="18">
        <f>SUM(F27:F32)</f>
        <v/>
      </c>
      <c r="G33" s="16">
        <f>SUM(G27:G32)</f>
        <v/>
      </c>
      <c r="H33" s="18">
        <f>SUM(H27:H32)</f>
        <v/>
      </c>
      <c r="I33" s="18">
        <f>SUM(I27:I32)</f>
        <v/>
      </c>
      <c r="J33" s="18">
        <f>SUM(J27:J32)</f>
        <v/>
      </c>
      <c r="K33" s="18">
        <f>SUM(K27:K32)</f>
        <v/>
      </c>
    </row>
    <row r="34">
      <c r="A34" s="10" t="inlineStr">
        <is>
          <t>U.S.</t>
        </is>
      </c>
      <c r="B34" s="10" t="inlineStr">
        <is>
          <t>stickyfooter1</t>
        </is>
      </c>
      <c r="C34" s="11" t="n">
        <v>19228301</v>
      </c>
      <c r="D34" s="11">
        <f>C34/$B$4</f>
        <v/>
      </c>
      <c r="E34" s="12">
        <f>$B$15</f>
        <v/>
      </c>
      <c r="F34" s="13">
        <f>D34*E34/1000</f>
        <v/>
      </c>
      <c r="G34" s="11">
        <f>D34*$B$8</f>
        <v/>
      </c>
      <c r="H34" s="13">
        <f>G34*$B$5/1000</f>
        <v/>
      </c>
      <c r="I34" s="13">
        <f>G34*$B$6/1000</f>
        <v/>
      </c>
      <c r="J34" s="13">
        <f>G34/1000*($B$5-E34)</f>
        <v/>
      </c>
      <c r="K34" s="13">
        <f>G34/1000*($B$6-E34)</f>
        <v/>
      </c>
    </row>
    <row r="35">
      <c r="A35" s="10" t="inlineStr">
        <is>
          <t>U.S.</t>
        </is>
      </c>
      <c r="B35" s="10" t="inlineStr">
        <is>
          <t>leaderboard1</t>
        </is>
      </c>
      <c r="C35" s="11" t="n">
        <v>6609878</v>
      </c>
      <c r="D35" s="11">
        <f>C35/$B$4</f>
        <v/>
      </c>
      <c r="E35" s="12">
        <f>$B$15</f>
        <v/>
      </c>
      <c r="F35" s="13">
        <f>D35*E35/1000</f>
        <v/>
      </c>
      <c r="G35" s="11">
        <f>D35*$B$8</f>
        <v/>
      </c>
      <c r="H35" s="13">
        <f>G35*$B$5/1000</f>
        <v/>
      </c>
      <c r="I35" s="13">
        <f>G35*$B$6/1000</f>
        <v/>
      </c>
      <c r="J35" s="13">
        <f>G35/1000*($B$5-E35)</f>
        <v/>
      </c>
      <c r="K35" s="13">
        <f>G35/1000*($B$6-E35)</f>
        <v/>
      </c>
    </row>
    <row r="36">
      <c r="A36" s="10" t="inlineStr">
        <is>
          <t>U.S.</t>
        </is>
      </c>
      <c r="B36" s="10" t="inlineStr">
        <is>
          <t>inline1</t>
        </is>
      </c>
      <c r="C36" s="11" t="n">
        <v>4331009</v>
      </c>
      <c r="D36" s="11">
        <f>C36/$B$4</f>
        <v/>
      </c>
      <c r="E36" s="12">
        <f>$B$15</f>
        <v/>
      </c>
      <c r="F36" s="13">
        <f>D36*E36/1000</f>
        <v/>
      </c>
      <c r="G36" s="11">
        <f>D36*$B$8</f>
        <v/>
      </c>
      <c r="H36" s="13">
        <f>G36*$B$5/1000</f>
        <v/>
      </c>
      <c r="I36" s="13">
        <f>G36*$B$6/1000</f>
        <v/>
      </c>
      <c r="J36" s="13">
        <f>G36/1000*($B$5-E36)</f>
        <v/>
      </c>
      <c r="K36" s="13">
        <f>G36/1000*($B$6-E36)</f>
        <v/>
      </c>
    </row>
    <row r="37">
      <c r="A37" s="10" t="inlineStr">
        <is>
          <t>U.S.</t>
        </is>
      </c>
      <c r="B37" s="10" t="inlineStr">
        <is>
          <t>inline2</t>
        </is>
      </c>
      <c r="C37" s="11" t="n">
        <v>3319301</v>
      </c>
      <c r="D37" s="11">
        <f>C37/$B$4</f>
        <v/>
      </c>
      <c r="E37" s="12">
        <f>$B$15</f>
        <v/>
      </c>
      <c r="F37" s="13">
        <f>D37*E37/1000</f>
        <v/>
      </c>
      <c r="G37" s="11">
        <f>D37*$B$8</f>
        <v/>
      </c>
      <c r="H37" s="13">
        <f>G37*$B$5/1000</f>
        <v/>
      </c>
      <c r="I37" s="13">
        <f>G37*$B$6/1000</f>
        <v/>
      </c>
      <c r="J37" s="13">
        <f>G37/1000*($B$5-E37)</f>
        <v/>
      </c>
      <c r="K37" s="13">
        <f>G37/1000*($B$6-E37)</f>
        <v/>
      </c>
    </row>
    <row r="38">
      <c r="A38" s="10" t="inlineStr">
        <is>
          <t>U.S.</t>
        </is>
      </c>
      <c r="B38" s="10" t="inlineStr">
        <is>
          <t>inline3</t>
        </is>
      </c>
      <c r="C38" s="11" t="n">
        <v>2359398</v>
      </c>
      <c r="D38" s="11">
        <f>C38/$B$4</f>
        <v/>
      </c>
      <c r="E38" s="12">
        <f>$B$15</f>
        <v/>
      </c>
      <c r="F38" s="13">
        <f>D38*E38/1000</f>
        <v/>
      </c>
      <c r="G38" s="11">
        <f>D38*$B$8</f>
        <v/>
      </c>
      <c r="H38" s="13">
        <f>G38*$B$5/1000</f>
        <v/>
      </c>
      <c r="I38" s="13">
        <f>G38*$B$6/1000</f>
        <v/>
      </c>
      <c r="J38" s="13">
        <f>G38/1000*($B$5-E38)</f>
        <v/>
      </c>
      <c r="K38" s="13">
        <f>G38/1000*($B$6-E38)</f>
        <v/>
      </c>
    </row>
    <row r="39">
      <c r="A39" s="10" t="inlineStr">
        <is>
          <t>U.S.</t>
        </is>
      </c>
      <c r="B39" s="10" t="inlineStr">
        <is>
          <t>rightrail1</t>
        </is>
      </c>
      <c r="C39" s="11" t="n">
        <v>2677384</v>
      </c>
      <c r="D39" s="11">
        <f>C39/$B$4</f>
        <v/>
      </c>
      <c r="E39" s="12">
        <f>$B$15</f>
        <v/>
      </c>
      <c r="F39" s="13">
        <f>D39*E39/1000</f>
        <v/>
      </c>
      <c r="G39" s="11">
        <f>D39*$B$8</f>
        <v/>
      </c>
      <c r="H39" s="13">
        <f>G39*$B$5/1000</f>
        <v/>
      </c>
      <c r="I39" s="13">
        <f>G39*$B$6/1000</f>
        <v/>
      </c>
      <c r="J39" s="13">
        <f>G39/1000*($B$5-E39)</f>
        <v/>
      </c>
      <c r="K39" s="13">
        <f>G39/1000*($B$6-E39)</f>
        <v/>
      </c>
    </row>
    <row r="40">
      <c r="A40" s="14" t="inlineStr">
        <is>
          <t>U.S. — subtotal</t>
        </is>
      </c>
      <c r="B40" s="15" t="inlineStr"/>
      <c r="C40" s="16">
        <f>SUM(C34:C39)</f>
        <v/>
      </c>
      <c r="D40" s="16">
        <f>SUM(D34:D39)</f>
        <v/>
      </c>
      <c r="E40" s="17">
        <f>F40/D40*1000</f>
        <v/>
      </c>
      <c r="F40" s="18">
        <f>SUM(F34:F39)</f>
        <v/>
      </c>
      <c r="G40" s="16">
        <f>SUM(G34:G39)</f>
        <v/>
      </c>
      <c r="H40" s="18">
        <f>SUM(H34:H39)</f>
        <v/>
      </c>
      <c r="I40" s="18">
        <f>SUM(I34:I39)</f>
        <v/>
      </c>
      <c r="J40" s="18">
        <f>SUM(J34:J39)</f>
        <v/>
      </c>
      <c r="K40" s="18">
        <f>SUM(K34:K39)</f>
        <v/>
      </c>
    </row>
    <row r="41">
      <c r="A41" s="10" t="inlineStr">
        <is>
          <t>Tech</t>
        </is>
      </c>
      <c r="B41" s="10" t="inlineStr">
        <is>
          <t>stickyfooter1</t>
        </is>
      </c>
      <c r="C41" s="11" t="n">
        <v>2725359</v>
      </c>
      <c r="D41" s="11">
        <f>C41/$B$4</f>
        <v/>
      </c>
      <c r="E41" s="12">
        <f>$B$16</f>
        <v/>
      </c>
      <c r="F41" s="13">
        <f>D41*E41/1000</f>
        <v/>
      </c>
      <c r="G41" s="11">
        <f>D41*$B$8</f>
        <v/>
      </c>
      <c r="H41" s="13">
        <f>G41*$B$5/1000</f>
        <v/>
      </c>
      <c r="I41" s="13">
        <f>G41*$B$6/1000</f>
        <v/>
      </c>
      <c r="J41" s="13">
        <f>G41/1000*($B$5-E41)</f>
        <v/>
      </c>
      <c r="K41" s="13">
        <f>G41/1000*($B$6-E41)</f>
        <v/>
      </c>
    </row>
    <row r="42">
      <c r="A42" s="10" t="inlineStr">
        <is>
          <t>Tech</t>
        </is>
      </c>
      <c r="B42" s="10" t="inlineStr">
        <is>
          <t>leaderboard1</t>
        </is>
      </c>
      <c r="C42" s="11" t="n">
        <v>1551790</v>
      </c>
      <c r="D42" s="11">
        <f>C42/$B$4</f>
        <v/>
      </c>
      <c r="E42" s="12">
        <f>$B$16</f>
        <v/>
      </c>
      <c r="F42" s="13">
        <f>D42*E42/1000</f>
        <v/>
      </c>
      <c r="G42" s="11">
        <f>D42*$B$8</f>
        <v/>
      </c>
      <c r="H42" s="13">
        <f>G42*$B$5/1000</f>
        <v/>
      </c>
      <c r="I42" s="13">
        <f>G42*$B$6/1000</f>
        <v/>
      </c>
      <c r="J42" s="13">
        <f>G42/1000*($B$5-E42)</f>
        <v/>
      </c>
      <c r="K42" s="13">
        <f>G42/1000*($B$6-E42)</f>
        <v/>
      </c>
    </row>
    <row r="43">
      <c r="A43" s="10" t="inlineStr">
        <is>
          <t>Tech</t>
        </is>
      </c>
      <c r="B43" s="10" t="inlineStr">
        <is>
          <t>inline1</t>
        </is>
      </c>
      <c r="C43" s="11" t="n">
        <v>1137367</v>
      </c>
      <c r="D43" s="11">
        <f>C43/$B$4</f>
        <v/>
      </c>
      <c r="E43" s="12">
        <f>$B$16</f>
        <v/>
      </c>
      <c r="F43" s="13">
        <f>D43*E43/1000</f>
        <v/>
      </c>
      <c r="G43" s="11">
        <f>D43*$B$8</f>
        <v/>
      </c>
      <c r="H43" s="13">
        <f>G43*$B$5/1000</f>
        <v/>
      </c>
      <c r="I43" s="13">
        <f>G43*$B$6/1000</f>
        <v/>
      </c>
      <c r="J43" s="13">
        <f>G43/1000*($B$5-E43)</f>
        <v/>
      </c>
      <c r="K43" s="13">
        <f>G43/1000*($B$6-E43)</f>
        <v/>
      </c>
    </row>
    <row r="44">
      <c r="A44" s="10" t="inlineStr">
        <is>
          <t>Tech</t>
        </is>
      </c>
      <c r="B44" s="10" t="inlineStr">
        <is>
          <t>inline2</t>
        </is>
      </c>
      <c r="C44" s="11" t="n">
        <v>885597</v>
      </c>
      <c r="D44" s="11">
        <f>C44/$B$4</f>
        <v/>
      </c>
      <c r="E44" s="12">
        <f>$B$16</f>
        <v/>
      </c>
      <c r="F44" s="13">
        <f>D44*E44/1000</f>
        <v/>
      </c>
      <c r="G44" s="11">
        <f>D44*$B$8</f>
        <v/>
      </c>
      <c r="H44" s="13">
        <f>G44*$B$5/1000</f>
        <v/>
      </c>
      <c r="I44" s="13">
        <f>G44*$B$6/1000</f>
        <v/>
      </c>
      <c r="J44" s="13">
        <f>G44/1000*($B$5-E44)</f>
        <v/>
      </c>
      <c r="K44" s="13">
        <f>G44/1000*($B$6-E44)</f>
        <v/>
      </c>
    </row>
    <row r="45">
      <c r="A45" s="10" t="inlineStr">
        <is>
          <t>Tech</t>
        </is>
      </c>
      <c r="B45" s="10" t="inlineStr">
        <is>
          <t>inline3</t>
        </is>
      </c>
      <c r="C45" s="11" t="n">
        <v>673770</v>
      </c>
      <c r="D45" s="11">
        <f>C45/$B$4</f>
        <v/>
      </c>
      <c r="E45" s="12">
        <f>$B$16</f>
        <v/>
      </c>
      <c r="F45" s="13">
        <f>D45*E45/1000</f>
        <v/>
      </c>
      <c r="G45" s="11">
        <f>D45*$B$8</f>
        <v/>
      </c>
      <c r="H45" s="13">
        <f>G45*$B$5/1000</f>
        <v/>
      </c>
      <c r="I45" s="13">
        <f>G45*$B$6/1000</f>
        <v/>
      </c>
      <c r="J45" s="13">
        <f>G45/1000*($B$5-E45)</f>
        <v/>
      </c>
      <c r="K45" s="13">
        <f>G45/1000*($B$6-E45)</f>
        <v/>
      </c>
    </row>
    <row r="46">
      <c r="A46" s="10" t="inlineStr">
        <is>
          <t>Tech</t>
        </is>
      </c>
      <c r="B46" s="10" t="inlineStr">
        <is>
          <t>rightrail1</t>
        </is>
      </c>
      <c r="C46" s="11" t="n">
        <v>821619</v>
      </c>
      <c r="D46" s="11">
        <f>C46/$B$4</f>
        <v/>
      </c>
      <c r="E46" s="12">
        <f>$B$16</f>
        <v/>
      </c>
      <c r="F46" s="13">
        <f>D46*E46/1000</f>
        <v/>
      </c>
      <c r="G46" s="11">
        <f>D46*$B$8</f>
        <v/>
      </c>
      <c r="H46" s="13">
        <f>G46*$B$5/1000</f>
        <v/>
      </c>
      <c r="I46" s="13">
        <f>G46*$B$6/1000</f>
        <v/>
      </c>
      <c r="J46" s="13">
        <f>G46/1000*($B$5-E46)</f>
        <v/>
      </c>
      <c r="K46" s="13">
        <f>G46/1000*($B$6-E46)</f>
        <v/>
      </c>
    </row>
    <row r="47">
      <c r="A47" s="14" t="inlineStr">
        <is>
          <t>Tech — subtotal</t>
        </is>
      </c>
      <c r="B47" s="15" t="inlineStr"/>
      <c r="C47" s="16">
        <f>SUM(C41:C46)</f>
        <v/>
      </c>
      <c r="D47" s="16">
        <f>SUM(D41:D46)</f>
        <v/>
      </c>
      <c r="E47" s="17">
        <f>F47/D47*1000</f>
        <v/>
      </c>
      <c r="F47" s="18">
        <f>SUM(F41:F46)</f>
        <v/>
      </c>
      <c r="G47" s="16">
        <f>SUM(G41:G46)</f>
        <v/>
      </c>
      <c r="H47" s="18">
        <f>SUM(H41:H46)</f>
        <v/>
      </c>
      <c r="I47" s="18">
        <f>SUM(I41:I46)</f>
        <v/>
      </c>
      <c r="J47" s="18">
        <f>SUM(J41:J46)</f>
        <v/>
      </c>
      <c r="K47" s="18">
        <f>SUM(K41:K46)</f>
        <v/>
      </c>
    </row>
    <row r="48">
      <c r="A48" s="10" t="inlineStr">
        <is>
          <t>Science</t>
        </is>
      </c>
      <c r="B48" s="10" t="inlineStr">
        <is>
          <t>stickyfooter1</t>
        </is>
      </c>
      <c r="C48" s="11" t="n">
        <v>2006324</v>
      </c>
      <c r="D48" s="11">
        <f>C48/$B$4</f>
        <v/>
      </c>
      <c r="E48" s="12">
        <f>$B$17</f>
        <v/>
      </c>
      <c r="F48" s="13">
        <f>D48*E48/1000</f>
        <v/>
      </c>
      <c r="G48" s="11">
        <f>D48*$B$8</f>
        <v/>
      </c>
      <c r="H48" s="13">
        <f>G48*$B$5/1000</f>
        <v/>
      </c>
      <c r="I48" s="13">
        <f>G48*$B$6/1000</f>
        <v/>
      </c>
      <c r="J48" s="13">
        <f>G48/1000*($B$5-E48)</f>
        <v/>
      </c>
      <c r="K48" s="13">
        <f>G48/1000*($B$6-E48)</f>
        <v/>
      </c>
    </row>
    <row r="49">
      <c r="A49" s="10" t="inlineStr">
        <is>
          <t>Science</t>
        </is>
      </c>
      <c r="B49" s="10" t="inlineStr">
        <is>
          <t>leaderboard1</t>
        </is>
      </c>
      <c r="C49" s="11" t="n">
        <v>1612613</v>
      </c>
      <c r="D49" s="11">
        <f>C49/$B$4</f>
        <v/>
      </c>
      <c r="E49" s="12">
        <f>$B$17</f>
        <v/>
      </c>
      <c r="F49" s="13">
        <f>D49*E49/1000</f>
        <v/>
      </c>
      <c r="G49" s="11">
        <f>D49*$B$8</f>
        <v/>
      </c>
      <c r="H49" s="13">
        <f>G49*$B$5/1000</f>
        <v/>
      </c>
      <c r="I49" s="13">
        <f>G49*$B$6/1000</f>
        <v/>
      </c>
      <c r="J49" s="13">
        <f>G49/1000*($B$5-E49)</f>
        <v/>
      </c>
      <c r="K49" s="13">
        <f>G49/1000*($B$6-E49)</f>
        <v/>
      </c>
    </row>
    <row r="50">
      <c r="A50" s="10" t="inlineStr">
        <is>
          <t>Science</t>
        </is>
      </c>
      <c r="B50" s="10" t="inlineStr">
        <is>
          <t>inline1</t>
        </is>
      </c>
      <c r="C50" s="11" t="n">
        <v>1280246</v>
      </c>
      <c r="D50" s="11">
        <f>C50/$B$4</f>
        <v/>
      </c>
      <c r="E50" s="12">
        <f>$B$17</f>
        <v/>
      </c>
      <c r="F50" s="13">
        <f>D50*E50/1000</f>
        <v/>
      </c>
      <c r="G50" s="11">
        <f>D50*$B$8</f>
        <v/>
      </c>
      <c r="H50" s="13">
        <f>G50*$B$5/1000</f>
        <v/>
      </c>
      <c r="I50" s="13">
        <f>G50*$B$6/1000</f>
        <v/>
      </c>
      <c r="J50" s="13">
        <f>G50/1000*($B$5-E50)</f>
        <v/>
      </c>
      <c r="K50" s="13">
        <f>G50/1000*($B$6-E50)</f>
        <v/>
      </c>
    </row>
    <row r="51">
      <c r="A51" s="10" t="inlineStr">
        <is>
          <t>Science</t>
        </is>
      </c>
      <c r="B51" s="10" t="inlineStr">
        <is>
          <t>inline2</t>
        </is>
      </c>
      <c r="C51" s="11" t="n">
        <v>1046394</v>
      </c>
      <c r="D51" s="11">
        <f>C51/$B$4</f>
        <v/>
      </c>
      <c r="E51" s="12">
        <f>$B$17</f>
        <v/>
      </c>
      <c r="F51" s="13">
        <f>D51*E51/1000</f>
        <v/>
      </c>
      <c r="G51" s="11">
        <f>D51*$B$8</f>
        <v/>
      </c>
      <c r="H51" s="13">
        <f>G51*$B$5/1000</f>
        <v/>
      </c>
      <c r="I51" s="13">
        <f>G51*$B$6/1000</f>
        <v/>
      </c>
      <c r="J51" s="13">
        <f>G51/1000*($B$5-E51)</f>
        <v/>
      </c>
      <c r="K51" s="13">
        <f>G51/1000*($B$6-E51)</f>
        <v/>
      </c>
    </row>
    <row r="52">
      <c r="A52" s="10" t="inlineStr">
        <is>
          <t>Science</t>
        </is>
      </c>
      <c r="B52" s="10" t="inlineStr">
        <is>
          <t>inline3</t>
        </is>
      </c>
      <c r="C52" s="11" t="n">
        <v>781024</v>
      </c>
      <c r="D52" s="11">
        <f>C52/$B$4</f>
        <v/>
      </c>
      <c r="E52" s="12">
        <f>$B$17</f>
        <v/>
      </c>
      <c r="F52" s="13">
        <f>D52*E52/1000</f>
        <v/>
      </c>
      <c r="G52" s="11">
        <f>D52*$B$8</f>
        <v/>
      </c>
      <c r="H52" s="13">
        <f>G52*$B$5/1000</f>
        <v/>
      </c>
      <c r="I52" s="13">
        <f>G52*$B$6/1000</f>
        <v/>
      </c>
      <c r="J52" s="13">
        <f>G52/1000*($B$5-E52)</f>
        <v/>
      </c>
      <c r="K52" s="13">
        <f>G52/1000*($B$6-E52)</f>
        <v/>
      </c>
    </row>
    <row r="53">
      <c r="A53" s="10" t="inlineStr">
        <is>
          <t>Science</t>
        </is>
      </c>
      <c r="B53" s="10" t="inlineStr">
        <is>
          <t>rightrail1</t>
        </is>
      </c>
      <c r="C53" s="11" t="n">
        <v>571444</v>
      </c>
      <c r="D53" s="11">
        <f>C53/$B$4</f>
        <v/>
      </c>
      <c r="E53" s="12">
        <f>$B$17</f>
        <v/>
      </c>
      <c r="F53" s="13">
        <f>D53*E53/1000</f>
        <v/>
      </c>
      <c r="G53" s="11">
        <f>D53*$B$8</f>
        <v/>
      </c>
      <c r="H53" s="13">
        <f>G53*$B$5/1000</f>
        <v/>
      </c>
      <c r="I53" s="13">
        <f>G53*$B$6/1000</f>
        <v/>
      </c>
      <c r="J53" s="13">
        <f>G53/1000*($B$5-E53)</f>
        <v/>
      </c>
      <c r="K53" s="13">
        <f>G53/1000*($B$6-E53)</f>
        <v/>
      </c>
    </row>
    <row r="54">
      <c r="A54" s="14" t="inlineStr">
        <is>
          <t>Science — subtotal</t>
        </is>
      </c>
      <c r="B54" s="15" t="inlineStr"/>
      <c r="C54" s="16">
        <f>SUM(C48:C53)</f>
        <v/>
      </c>
      <c r="D54" s="16">
        <f>SUM(D48:D53)</f>
        <v/>
      </c>
      <c r="E54" s="17">
        <f>F54/D54*1000</f>
        <v/>
      </c>
      <c r="F54" s="18">
        <f>SUM(F48:F53)</f>
        <v/>
      </c>
      <c r="G54" s="16">
        <f>SUM(G48:G53)</f>
        <v/>
      </c>
      <c r="H54" s="18">
        <f>SUM(H48:H53)</f>
        <v/>
      </c>
      <c r="I54" s="18">
        <f>SUM(I48:I53)</f>
        <v/>
      </c>
      <c r="J54" s="18">
        <f>SUM(J48:J53)</f>
        <v/>
      </c>
      <c r="K54" s="18">
        <f>SUM(K48:K53)</f>
        <v/>
      </c>
    </row>
    <row r="55">
      <c r="A55" s="19" t="inlineStr">
        <is>
          <t>GRAND TOTAL (5 sections × 6 slots)</t>
        </is>
      </c>
      <c r="B55" s="20" t="inlineStr"/>
      <c r="C55" s="21">
        <f>C26+C33+C40+C47+C54</f>
        <v/>
      </c>
      <c r="D55" s="21">
        <f>D26+D33+D40+D47+D54</f>
        <v/>
      </c>
      <c r="E55" s="22">
        <f>F55/D55*1000</f>
        <v/>
      </c>
      <c r="F55" s="23">
        <f>F26+F33+F40+F47+F54</f>
        <v/>
      </c>
      <c r="G55" s="21">
        <f>G26+G33+G40+G47+G54</f>
        <v/>
      </c>
      <c r="H55" s="23">
        <f>H26+H33+H40+H47+H54</f>
        <v/>
      </c>
      <c r="I55" s="23">
        <f>I26+I33+I40+I47+I54</f>
        <v/>
      </c>
      <c r="J55" s="23">
        <f>J26+J33+J40+J47+J54</f>
        <v/>
      </c>
      <c r="K55" s="23">
        <f>K26+K33+K40+K47+K54</f>
        <v/>
      </c>
    </row>
    <row r="57">
      <c r="A57" s="24" t="inlineStr">
        <is>
          <t>Annualized uplift @ price A (Base 10% × 12)</t>
        </is>
      </c>
      <c r="D57" s="25">
        <f>J55*12</f>
        <v/>
      </c>
    </row>
    <row r="58">
      <c r="A58" s="24" t="inlineStr">
        <is>
          <t>Annualized uplift @ price B (Base 10% × 12)</t>
        </is>
      </c>
      <c r="D58" s="25">
        <f>K55*12</f>
        <v/>
      </c>
    </row>
    <row r="60">
      <c r="A60" s="2" t="inlineStr">
        <is>
          <t>Scenario summary — incremental revenue / month (all slots)</t>
        </is>
      </c>
    </row>
    <row r="61">
      <c r="A61" s="26" t="inlineStr">
        <is>
          <t>Shift</t>
        </is>
      </c>
      <c r="B61" s="26" t="inlineStr">
        <is>
          <t>Incremental / mo @ A</t>
        </is>
      </c>
      <c r="C61" s="26" t="inlineStr">
        <is>
          <t>Incremental / mo @ B</t>
        </is>
      </c>
      <c r="D61" s="26" t="inlineStr">
        <is>
          <t>Annualized @ A</t>
        </is>
      </c>
      <c r="E61" s="26" t="inlineStr">
        <is>
          <t>Annualized @ B</t>
        </is>
      </c>
    </row>
    <row r="62">
      <c r="A62" s="27">
        <f>$B$7</f>
        <v/>
      </c>
      <c r="B62" s="28">
        <f>D55*$B$7/1000*($B$5-E55)</f>
        <v/>
      </c>
      <c r="C62" s="28">
        <f>D55*$B$7/1000*($B$6-E55)</f>
        <v/>
      </c>
      <c r="D62" s="28">
        <f>B62*12</f>
        <v/>
      </c>
      <c r="E62" s="28">
        <f>C62*12</f>
        <v/>
      </c>
    </row>
    <row r="63">
      <c r="A63" s="27">
        <f>$B$8</f>
        <v/>
      </c>
      <c r="B63" s="28">
        <f>D55*$B$8/1000*($B$5-E55)</f>
        <v/>
      </c>
      <c r="C63" s="28">
        <f>D55*$B$8/1000*($B$6-E55)</f>
        <v/>
      </c>
      <c r="D63" s="28">
        <f>B63*12</f>
        <v/>
      </c>
      <c r="E63" s="28">
        <f>C63*12</f>
        <v/>
      </c>
    </row>
    <row r="64">
      <c r="A64" s="27">
        <f>$B$9</f>
        <v/>
      </c>
      <c r="B64" s="28">
        <f>D55*$B$9/1000*($B$5-E55)</f>
        <v/>
      </c>
      <c r="C64" s="28">
        <f>D55*$B$9/1000*($B$6-E55)</f>
        <v/>
      </c>
      <c r="D64" s="28">
        <f>B64*12</f>
        <v/>
      </c>
      <c r="E64" s="28">
        <f>C64*12</f>
        <v/>
      </c>
    </row>
    <row r="66" ht="54" customHeight="1">
      <c r="A66" s="29" t="inlineStr">
        <is>
          <t>Notes: (1) This pivot supplies IMPRESSIONS only; current programmatic eCPM is applied from the confirmed section rate card above (same rate across a section's slots) — replace with slot-level eCPM when a revenue export is available for slot-precise figures. (2) 'Monthly' = period ÷ months-in-period; the ~200M programmatic total implies an ~18-month window (Jan-2025..Jun-2026), not the 5-month slice — confirm the export period. (3) % shift = share of PROGRAMMATIC impressions re-sold as PG/PD. World &amp; Politics are not in this dataset (additive).</t>
        </is>
      </c>
    </row>
    <row r="67"/>
    <row r="68"/>
  </sheetData>
  <mergeCells count="2">
    <mergeCell ref="A1:K1"/>
    <mergeCell ref="A66:K6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2026-07-01T20:17:24Z</dcterms:created>
  <dcterms:modified xmlns:dcterms="http://purl.org/dc/terms/" xmlns:xsi="http://www.w3.org/2001/XMLSchema-instance" xsi:type="dcterms:W3CDTF">2026-07-01T20:17:24Z</dcterms:modified>
</cp:coreProperties>
</file>