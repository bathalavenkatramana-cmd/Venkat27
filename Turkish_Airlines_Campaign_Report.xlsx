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ng Summary" sheetId="1" state="visible" r:id="rId1"/>
    <sheet name="Daily Delivery" sheetId="2" state="visible" r:id="rId2"/>
    <sheet name="Projection &amp; Catch-up" sheetId="3" state="visible" r:id="rId3"/>
    <sheet name="Line Item Breakdown" sheetId="4" state="visible" r:id="rId4"/>
    <sheet name="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&quot;$&quot;#,##0.00"/>
    <numFmt numFmtId="166" formatCode="0.0%"/>
    <numFmt numFmtId="167" formatCode="0.0"/>
    <numFmt numFmtId="168" formatCode="0.0&quot;x&quot;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</font>
    <font>
      <b val="1"/>
      <color rgb="001F4E78"/>
      <sz val="12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5" fillId="0" borderId="1" pivotButton="0" quotePrefix="0" xfId="0"/>
    <xf numFmtId="3" fontId="5" fillId="0" borderId="1" pivotButton="0" quotePrefix="0" xfId="0"/>
    <xf numFmtId="1" fontId="0" fillId="0" borderId="1" pivotButton="0" quotePrefix="0" xfId="0"/>
    <xf numFmtId="166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5" fillId="5" borderId="1" pivotButton="0" quotePrefix="0" xfId="0"/>
    <xf numFmtId="3" fontId="5" fillId="5" borderId="1" pivotButton="0" quotePrefix="0" xfId="0"/>
    <xf numFmtId="164" fontId="5" fillId="5" borderId="1" pivotButton="0" quotePrefix="0" xfId="0"/>
    <xf numFmtId="167" fontId="0" fillId="0" borderId="1" pivotButton="0" quotePrefix="0" xfId="0"/>
    <xf numFmtId="49" fontId="0" fillId="0" borderId="1" pivotButton="0" quotePrefix="0" xfId="0"/>
    <xf numFmtId="3" fontId="0" fillId="6" borderId="1" pivotButton="0" quotePrefix="0" xfId="0"/>
    <xf numFmtId="168" fontId="0" fillId="6" borderId="1" pivotButton="0" quotePrefix="0" xfId="0"/>
    <xf numFmtId="166" fontId="0" fillId="4" borderId="1" pivotButton="0" quotePrefix="0" xfId="0"/>
    <xf numFmtId="166" fontId="0" fillId="3" borderId="1" pivotButton="0" quotePrefix="0" xfId="0"/>
    <xf numFmtId="0" fontId="0" fillId="5" borderId="1" pivotButton="0" quotePrefix="0" xfId="0"/>
    <xf numFmtId="166" fontId="5" fillId="5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6" customWidth="1" min="3" max="3"/>
  </cols>
  <sheetData>
    <row r="1">
      <c r="A1" s="1" t="inlineStr">
        <is>
          <t>Turkish Airlines Video Campaign - Pacing &amp; Delivery Report</t>
        </is>
      </c>
    </row>
    <row r="3">
      <c r="A3" s="2" t="inlineStr">
        <is>
          <t>Data snapshot: June 19 - July 1  |  Flight: June 19 - July 15  |  Rate: $30.00 CPM</t>
        </is>
      </c>
    </row>
    <row r="5">
      <c r="A5" s="3" t="inlineStr">
        <is>
          <t>1. Campaign Parameters</t>
        </is>
      </c>
    </row>
    <row r="6">
      <c r="A6" s="4" t="inlineStr">
        <is>
          <t>Metric</t>
        </is>
      </c>
      <c r="B6" s="4" t="inlineStr">
        <is>
          <t>Value</t>
        </is>
      </c>
    </row>
    <row r="7">
      <c r="A7" s="5" t="inlineStr">
        <is>
          <t>Impression goal</t>
        </is>
      </c>
      <c r="B7" s="6" t="n">
        <v>3062654</v>
      </c>
    </row>
    <row r="8">
      <c r="A8" s="5" t="inlineStr">
        <is>
          <t>Budget</t>
        </is>
      </c>
      <c r="B8" s="7" t="n">
        <v>91880</v>
      </c>
    </row>
    <row r="9">
      <c r="A9" s="5" t="inlineStr">
        <is>
          <t>Implied rate (CPM)</t>
        </is>
      </c>
      <c r="B9" s="8" t="n">
        <v>30</v>
      </c>
    </row>
    <row r="10">
      <c r="A10" s="5" t="inlineStr">
        <is>
          <t>Flight start</t>
        </is>
      </c>
      <c r="B10" s="5" t="inlineStr">
        <is>
          <t>2026-06-19</t>
        </is>
      </c>
    </row>
    <row r="11">
      <c r="A11" s="5" t="inlineStr">
        <is>
          <t>Flight end</t>
        </is>
      </c>
      <c r="B11" s="5" t="inlineStr">
        <is>
          <t>2026-07-15</t>
        </is>
      </c>
    </row>
    <row r="12">
      <c r="A12" s="5" t="inlineStr">
        <is>
          <t>Flight length (days)</t>
        </is>
      </c>
      <c r="B12" s="5" t="n">
        <v>27</v>
      </c>
    </row>
    <row r="14">
      <c r="A14" s="3" t="inlineStr">
        <is>
          <t>2. Required Daily Pace (to hit goal on time)</t>
        </is>
      </c>
    </row>
    <row r="15">
      <c r="A15" s="4" t="inlineStr">
        <is>
          <t>Calculation</t>
        </is>
      </c>
      <c r="B15" s="4" t="inlineStr">
        <is>
          <t>Value</t>
        </is>
      </c>
    </row>
    <row r="16">
      <c r="A16" s="5" t="inlineStr">
        <is>
          <t>Impression goal</t>
        </is>
      </c>
      <c r="B16" s="6" t="n">
        <v>3062654</v>
      </c>
    </row>
    <row r="17">
      <c r="A17" s="5" t="inlineStr">
        <is>
          <t>Flight length (days)</t>
        </is>
      </c>
      <c r="B17" s="5" t="n">
        <v>27</v>
      </c>
    </row>
    <row r="18">
      <c r="A18" s="9" t="inlineStr">
        <is>
          <t>Required impressions / day</t>
        </is>
      </c>
      <c r="B18" s="10">
        <f>B16/B17</f>
        <v/>
      </c>
    </row>
    <row r="20">
      <c r="A20" s="3" t="inlineStr">
        <is>
          <t>3. Actual Delivery vs Plan (through July 1)</t>
        </is>
      </c>
    </row>
    <row r="21">
      <c r="A21" s="4" t="inlineStr">
        <is>
          <t>Checkpoint</t>
        </is>
      </c>
      <c r="B21" s="4" t="inlineStr">
        <is>
          <t>Value</t>
        </is>
      </c>
      <c r="C21" s="4" t="inlineStr">
        <is>
          <t>Read</t>
        </is>
      </c>
    </row>
    <row r="22">
      <c r="A22" s="5" t="inlineStr">
        <is>
          <t>Total delivered (impressions)</t>
        </is>
      </c>
      <c r="B22" s="6" t="n">
        <v>478528</v>
      </c>
      <c r="C22" s="5" t="inlineStr"/>
    </row>
    <row r="23">
      <c r="A23" s="5" t="inlineStr">
        <is>
          <t>Total revenue delivered</t>
        </is>
      </c>
      <c r="B23" s="7" t="n">
        <v>14356</v>
      </c>
      <c r="C23" s="5" t="inlineStr"/>
    </row>
    <row r="24">
      <c r="A24" s="5" t="inlineStr">
        <is>
          <t>Days delivered</t>
        </is>
      </c>
      <c r="B24" s="11" t="n">
        <v>13</v>
      </c>
      <c r="C24" s="5" t="inlineStr"/>
    </row>
    <row r="25">
      <c r="A25" s="5" t="inlineStr">
        <is>
          <t>Avg impressions / day (actual)</t>
        </is>
      </c>
      <c r="B25" s="6" t="n">
        <v>36810</v>
      </c>
      <c r="C25" s="5" t="inlineStr">
        <is>
          <t>Run rate</t>
        </is>
      </c>
    </row>
    <row r="26">
      <c r="A26" s="5" t="inlineStr">
        <is>
          <t>Time elapsed (% of flight)</t>
        </is>
      </c>
      <c r="B26" s="12" t="n">
        <v>0.4814814814814815</v>
      </c>
      <c r="C26" s="5" t="inlineStr">
        <is>
          <t>-</t>
        </is>
      </c>
    </row>
    <row r="27">
      <c r="A27" s="5" t="inlineStr">
        <is>
          <t>Goal delivered (%)</t>
        </is>
      </c>
      <c r="B27" s="12" t="n">
        <v>0.1562461838653665</v>
      </c>
      <c r="C27" s="13" t="inlineStr">
        <is>
          <t>Far behind</t>
        </is>
      </c>
    </row>
    <row r="28">
      <c r="A28" s="5" t="inlineStr">
        <is>
          <t>Actual vs required pace</t>
        </is>
      </c>
      <c r="B28" s="12" t="n">
        <v>0.3245116016644333</v>
      </c>
      <c r="C28" s="13" t="inlineStr">
        <is>
          <t>Running at ~1/3 speed</t>
        </is>
      </c>
    </row>
    <row r="29">
      <c r="A29" s="5" t="inlineStr">
        <is>
          <t>Budget spent (%)</t>
        </is>
      </c>
      <c r="B29" s="12" t="n">
        <v>0.156247279059643</v>
      </c>
      <c r="C29" s="14" t="inlineStr">
        <is>
          <t>CPM holding at $30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</cols>
  <sheetData>
    <row r="1">
      <c r="A1" s="1" t="inlineStr">
        <is>
          <t>Day-wise Delivery (June 19 - July 1)</t>
        </is>
      </c>
    </row>
    <row r="3">
      <c r="A3" s="4" t="inlineStr">
        <is>
          <t>Date</t>
        </is>
      </c>
      <c r="B3" s="4" t="inlineStr">
        <is>
          <t>Ad server impressions</t>
        </is>
      </c>
      <c r="C3" s="4" t="inlineStr">
        <is>
          <t>Revenue</t>
        </is>
      </c>
    </row>
    <row r="4">
      <c r="A4" s="5" t="inlineStr">
        <is>
          <t>2026-06-19</t>
        </is>
      </c>
      <c r="B4" s="6" t="n">
        <v>15646</v>
      </c>
      <c r="C4" s="7" t="n">
        <v>469</v>
      </c>
    </row>
    <row r="5">
      <c r="A5" s="5" t="inlineStr">
        <is>
          <t>2026-06-20</t>
        </is>
      </c>
      <c r="B5" s="6" t="n">
        <v>29797</v>
      </c>
      <c r="C5" s="7" t="n">
        <v>894</v>
      </c>
    </row>
    <row r="6">
      <c r="A6" s="5" t="inlineStr">
        <is>
          <t>2026-06-21</t>
        </is>
      </c>
      <c r="B6" s="6" t="n">
        <v>29966</v>
      </c>
      <c r="C6" s="7" t="n">
        <v>899</v>
      </c>
    </row>
    <row r="7">
      <c r="A7" s="5" t="inlineStr">
        <is>
          <t>2026-06-22</t>
        </is>
      </c>
      <c r="B7" s="6" t="n">
        <v>40618</v>
      </c>
      <c r="C7" s="7" t="n">
        <v>1219</v>
      </c>
    </row>
    <row r="8">
      <c r="A8" s="5" t="inlineStr">
        <is>
          <t>2026-06-23</t>
        </is>
      </c>
      <c r="B8" s="6" t="n">
        <v>26209</v>
      </c>
      <c r="C8" s="7" t="n">
        <v>786</v>
      </c>
    </row>
    <row r="9">
      <c r="A9" s="5" t="inlineStr">
        <is>
          <t>2026-06-24</t>
        </is>
      </c>
      <c r="B9" s="6" t="n">
        <v>59556</v>
      </c>
      <c r="C9" s="7" t="n">
        <v>1787</v>
      </c>
    </row>
    <row r="10">
      <c r="A10" s="5" t="inlineStr">
        <is>
          <t>2026-06-25</t>
        </is>
      </c>
      <c r="B10" s="6" t="n">
        <v>63998</v>
      </c>
      <c r="C10" s="7" t="n">
        <v>1920</v>
      </c>
    </row>
    <row r="11">
      <c r="A11" s="5" t="inlineStr">
        <is>
          <t>2026-06-26</t>
        </is>
      </c>
      <c r="B11" s="6" t="n">
        <v>38874</v>
      </c>
      <c r="C11" s="7" t="n">
        <v>1166</v>
      </c>
    </row>
    <row r="12">
      <c r="A12" s="5" t="inlineStr">
        <is>
          <t>2026-06-27</t>
        </is>
      </c>
      <c r="B12" s="6" t="n">
        <v>30729</v>
      </c>
      <c r="C12" s="7" t="n">
        <v>922</v>
      </c>
    </row>
    <row r="13">
      <c r="A13" s="5" t="inlineStr">
        <is>
          <t>2026-06-28</t>
        </is>
      </c>
      <c r="B13" s="6" t="n">
        <v>31541</v>
      </c>
      <c r="C13" s="7" t="n">
        <v>946</v>
      </c>
    </row>
    <row r="14">
      <c r="A14" s="5" t="inlineStr">
        <is>
          <t>2026-06-29</t>
        </is>
      </c>
      <c r="B14" s="6" t="n">
        <v>37298</v>
      </c>
      <c r="C14" s="7" t="n">
        <v>1119</v>
      </c>
    </row>
    <row r="15">
      <c r="A15" s="5" t="inlineStr">
        <is>
          <t>2026-06-30</t>
        </is>
      </c>
      <c r="B15" s="6" t="n">
        <v>48568</v>
      </c>
      <c r="C15" s="7" t="n">
        <v>1457</v>
      </c>
    </row>
    <row r="16">
      <c r="A16" s="5" t="inlineStr">
        <is>
          <t>2026-07-01</t>
        </is>
      </c>
      <c r="B16" s="6" t="n">
        <v>25728</v>
      </c>
      <c r="C16" s="7" t="n">
        <v>772</v>
      </c>
    </row>
    <row r="17">
      <c r="A17" s="15" t="inlineStr">
        <is>
          <t>Grand Total</t>
        </is>
      </c>
      <c r="B17" s="16">
        <f>SUM(B4:B16)</f>
        <v/>
      </c>
      <c r="C17" s="17">
        <f>SUM(C4:C16)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1" t="inlineStr">
        <is>
          <t>Projection &amp; Catch-up Scenarios</t>
        </is>
      </c>
    </row>
    <row r="3">
      <c r="A3" s="3" t="inlineStr">
        <is>
          <t>4. If Performance Continues As-Is</t>
        </is>
      </c>
    </row>
    <row r="4">
      <c r="A4" s="4" t="inlineStr">
        <is>
          <t>Metric</t>
        </is>
      </c>
      <c r="B4" s="4" t="inlineStr">
        <is>
          <t>Value</t>
        </is>
      </c>
    </row>
    <row r="5">
      <c r="A5" s="5" t="inlineStr">
        <is>
          <t>Current run rate (imp/day)</t>
        </is>
      </c>
      <c r="B5" s="6" t="n">
        <v>36810</v>
      </c>
    </row>
    <row r="6">
      <c r="A6" s="5" t="inlineStr">
        <is>
          <t>Projected total by July 15 (27 days)</t>
        </is>
      </c>
      <c r="B6" s="6" t="n">
        <v>993870</v>
      </c>
    </row>
    <row r="7">
      <c r="A7" s="5" t="inlineStr">
        <is>
          <t>Projected % of goal</t>
        </is>
      </c>
      <c r="B7" s="12" t="n">
        <v>0.3245126612408715</v>
      </c>
    </row>
    <row r="8">
      <c r="A8" s="5" t="inlineStr">
        <is>
          <t>Shortfall vs goal (impressions)</t>
        </is>
      </c>
      <c r="B8" s="6" t="n">
        <v>2068784</v>
      </c>
    </row>
    <row r="9">
      <c r="A9" s="5" t="inlineStr">
        <is>
          <t>Days to fully deliver at current pace</t>
        </is>
      </c>
      <c r="B9" s="18" t="n">
        <v>83.20168432491171</v>
      </c>
    </row>
    <row r="10">
      <c r="A10" s="5" t="inlineStr">
        <is>
          <t>Projected actual finish date</t>
        </is>
      </c>
      <c r="B10" s="19" t="inlineStr">
        <is>
          <t>~September 9</t>
        </is>
      </c>
    </row>
    <row r="12">
      <c r="A12" s="3" t="inlineStr">
        <is>
          <t>5. What's Needed to Finish On Time (by July 15)</t>
        </is>
      </c>
    </row>
    <row r="13">
      <c r="A13" s="4" t="inlineStr">
        <is>
          <t>Metric</t>
        </is>
      </c>
      <c r="B13" s="4" t="inlineStr">
        <is>
          <t>Value</t>
        </is>
      </c>
    </row>
    <row r="14">
      <c r="A14" s="5" t="inlineStr">
        <is>
          <t>Goal</t>
        </is>
      </c>
      <c r="B14" s="6" t="n">
        <v>3062654</v>
      </c>
    </row>
    <row r="15">
      <c r="A15" s="5" t="inlineStr">
        <is>
          <t>Delivered so far</t>
        </is>
      </c>
      <c r="B15" s="6" t="n">
        <v>478528</v>
      </c>
    </row>
    <row r="16">
      <c r="A16" s="5" t="inlineStr">
        <is>
          <t>Remaining impressions</t>
        </is>
      </c>
      <c r="B16" s="6" t="n">
        <v>2584126</v>
      </c>
    </row>
    <row r="17">
      <c r="A17" s="5" t="inlineStr">
        <is>
          <t>Remaining days (July 2-15)</t>
        </is>
      </c>
      <c r="B17" s="11" t="n">
        <v>14</v>
      </c>
    </row>
    <row r="18">
      <c r="A18" s="5" t="inlineStr">
        <is>
          <t>Required imp/day to finish on time</t>
        </is>
      </c>
      <c r="B18" s="20" t="n">
        <v>184580.4285714286</v>
      </c>
    </row>
    <row r="19">
      <c r="A19" s="5" t="inlineStr">
        <is>
          <t>Multiple of current pace</t>
        </is>
      </c>
      <c r="B19" s="21" t="n">
        <v>5.014409904140956</v>
      </c>
    </row>
    <row r="20">
      <c r="A20" s="5" t="inlineStr">
        <is>
          <t>Best single day so far (June 25)</t>
        </is>
      </c>
      <c r="B20" s="6" t="n">
        <v>63998</v>
      </c>
    </row>
    <row r="21">
      <c r="A21" s="5" t="inlineStr">
        <is>
          <t>Best day vs required catch-up pace</t>
        </is>
      </c>
      <c r="B21" s="12" t="n">
        <v>0.3467214833951595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58" customWidth="1" min="2" max="2"/>
    <col width="22" customWidth="1" min="3" max="3"/>
    <col width="12" customWidth="1" min="4" max="4"/>
    <col width="12" customWidth="1" min="5" max="5"/>
  </cols>
  <sheetData>
    <row r="1">
      <c r="A1" s="1" t="inlineStr">
        <is>
          <t>Delivery by Format / Line Item</t>
        </is>
      </c>
    </row>
    <row r="3">
      <c r="A3" s="4" t="inlineStr">
        <is>
          <t>Format</t>
        </is>
      </c>
      <c r="B3" s="4" t="inlineStr">
        <is>
          <t>Line item</t>
        </is>
      </c>
      <c r="C3" s="4" t="inlineStr">
        <is>
          <t>Ad server impressions</t>
        </is>
      </c>
      <c r="D3" s="4" t="inlineStr">
        <is>
          <t>Revenue</t>
        </is>
      </c>
      <c r="E3" s="4" t="inlineStr">
        <is>
          <t>% of total</t>
        </is>
      </c>
    </row>
    <row r="4">
      <c r="A4" s="5" t="inlineStr">
        <is>
          <t>Bytes</t>
        </is>
      </c>
      <c r="B4" s="5" t="inlineStr">
        <is>
          <t>12213418 Vertical Video - ROS - Widget</t>
        </is>
      </c>
      <c r="C4" s="6" t="n">
        <v>297608</v>
      </c>
      <c r="D4" s="7" t="n">
        <v>8928</v>
      </c>
      <c r="E4" s="22" t="n">
        <v>0.6572614840989399</v>
      </c>
    </row>
    <row r="5">
      <c r="A5" s="5" t="inlineStr">
        <is>
          <t>Bytes</t>
        </is>
      </c>
      <c r="B5" s="5" t="inlineStr">
        <is>
          <t>12238249 Vertical Video - ROS - Widget v2</t>
        </is>
      </c>
      <c r="C5" s="6" t="n">
        <v>64921</v>
      </c>
      <c r="D5" s="7" t="n">
        <v>1948</v>
      </c>
      <c r="E5" s="22" t="n">
        <v>0.1433767667844523</v>
      </c>
    </row>
    <row r="6">
      <c r="A6" s="5" t="inlineStr">
        <is>
          <t>Bytes</t>
        </is>
      </c>
      <c r="B6" s="5" t="inlineStr">
        <is>
          <t>12232491 Vertical Video ROS - In Stream only</t>
        </is>
      </c>
      <c r="C6" s="6" t="n">
        <v>4592</v>
      </c>
      <c r="D6" s="7" t="n">
        <v>138</v>
      </c>
      <c r="E6" s="12" t="n">
        <v>0.01014134275618375</v>
      </c>
    </row>
    <row r="7">
      <c r="A7" s="5" t="inlineStr">
        <is>
          <t>Bytes</t>
        </is>
      </c>
      <c r="B7" s="5" t="inlineStr">
        <is>
          <t>12212858 Vertical Video ROS - In content only</t>
        </is>
      </c>
      <c r="C7" s="6" t="n">
        <v>1062</v>
      </c>
      <c r="D7" s="7" t="n">
        <v>32</v>
      </c>
      <c r="E7" s="23" t="n">
        <v>0.002345406360424028</v>
      </c>
    </row>
    <row r="8">
      <c r="A8" s="5" t="inlineStr">
        <is>
          <t>Bytes</t>
        </is>
      </c>
      <c r="B8" s="5" t="inlineStr">
        <is>
          <t>12238447 Vertical Video - ROS - In content v3</t>
        </is>
      </c>
      <c r="C8" s="6" t="n">
        <v>816</v>
      </c>
      <c r="D8" s="7" t="n">
        <v>24</v>
      </c>
      <c r="E8" s="23" t="n">
        <v>0.001802120141342756</v>
      </c>
    </row>
    <row r="9">
      <c r="A9" s="5" t="inlineStr">
        <is>
          <t>Bytes</t>
        </is>
      </c>
      <c r="B9" s="5" t="inlineStr">
        <is>
          <t>12212859 Vertical Video - Channel targeted - Incontent only</t>
        </is>
      </c>
      <c r="C9" s="6" t="n">
        <v>361</v>
      </c>
      <c r="D9" s="7" t="n">
        <v>11</v>
      </c>
      <c r="E9" s="23" t="n">
        <v>0.0007972614840989399</v>
      </c>
    </row>
    <row r="10">
      <c r="A10" s="5" t="inlineStr">
        <is>
          <t>Bytes</t>
        </is>
      </c>
      <c r="B10" s="5" t="inlineStr">
        <is>
          <t>12212857 Vertical Video - Mnet + Personas - Incontent only</t>
        </is>
      </c>
      <c r="C10" s="6" t="n">
        <v>241</v>
      </c>
      <c r="D10" s="7" t="n">
        <v>7</v>
      </c>
      <c r="E10" s="23" t="n">
        <v>0.000532243816254417</v>
      </c>
    </row>
    <row r="11">
      <c r="A11" s="5" t="inlineStr">
        <is>
          <t>Pre Roll</t>
        </is>
      </c>
      <c r="B11" s="5" t="inlineStr">
        <is>
          <t>12212826 Standard Pre-roll ROS</t>
        </is>
      </c>
      <c r="C11" s="6" t="n">
        <v>82888</v>
      </c>
      <c r="D11" s="7" t="n">
        <v>2487</v>
      </c>
      <c r="E11" s="22" t="n">
        <v>0.1830565371024735</v>
      </c>
    </row>
    <row r="12">
      <c r="A12" s="5" t="inlineStr">
        <is>
          <t>Pre Roll</t>
        </is>
      </c>
      <c r="B12" s="5" t="inlineStr">
        <is>
          <t>12212854 Standard Pre-roll - Channel targeted</t>
        </is>
      </c>
      <c r="C12" s="6" t="n">
        <v>187</v>
      </c>
      <c r="D12" s="7" t="n">
        <v>6</v>
      </c>
      <c r="E12" s="23" t="n">
        <v>0.0004129858657243816</v>
      </c>
    </row>
    <row r="13">
      <c r="A13" s="5" t="inlineStr">
        <is>
          <t>Pre Roll</t>
        </is>
      </c>
      <c r="B13" s="5" t="inlineStr">
        <is>
          <t>11768253 Standard Pre-roll - Mnet + Personas</t>
        </is>
      </c>
      <c r="C13" s="6" t="n">
        <v>124</v>
      </c>
      <c r="D13" s="7" t="n">
        <v>4</v>
      </c>
      <c r="E13" s="23" t="n">
        <v>0.0002738515901060071</v>
      </c>
    </row>
    <row r="14">
      <c r="A14" s="15" t="inlineStr">
        <is>
          <t>Grand Total</t>
        </is>
      </c>
      <c r="B14" s="24" t="n"/>
      <c r="C14" s="16">
        <f>SUM(C4:C13)</f>
        <v/>
      </c>
      <c r="D14" s="17">
        <f>SUM(D4:D13)</f>
        <v/>
      </c>
      <c r="E14" s="25">
        <f>SUM(E4:E13)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52" customWidth="1" min="3" max="3"/>
  </cols>
  <sheetData>
    <row r="1">
      <c r="A1" s="1" t="inlineStr">
        <is>
          <t>Recommendations &amp; Scenarios</t>
        </is>
      </c>
    </row>
    <row r="3">
      <c r="A3" s="4" t="inlineStr">
        <is>
          <t>#</t>
        </is>
      </c>
      <c r="B3" s="4" t="inlineStr">
        <is>
          <t>Recommendation</t>
        </is>
      </c>
      <c r="C3" s="4" t="inlineStr">
        <is>
          <t>Rationale</t>
        </is>
      </c>
    </row>
    <row r="4">
      <c r="A4" s="26" t="n">
        <v>1</v>
      </c>
      <c r="B4" s="5" t="inlineStr">
        <is>
          <t>Loosen / lift targeted line items</t>
        </is>
      </c>
      <c r="C4" s="5" t="inlineStr">
        <is>
          <t>Channel-targeted + Mnet+Personas delivering ~0.1%; reallocate to ROS Widget.</t>
        </is>
      </c>
    </row>
    <row r="5">
      <c r="A5" s="26" t="n">
        <v>2</v>
      </c>
      <c r="B5" s="5" t="inlineStr">
        <is>
          <t>Shift weight to top 3 performers</t>
        </is>
      </c>
      <c r="C5" s="5" t="inlineStr">
        <is>
          <t>Widget, Widget v2, Pre-roll ROS drive ~98% of delivery; uncap freq/geo.</t>
        </is>
      </c>
    </row>
    <row r="6">
      <c r="A6" s="26" t="n">
        <v>3</v>
      </c>
      <c r="B6" s="5" t="inlineStr">
        <is>
          <t>Reset goal expectations</t>
        </is>
      </c>
      <c r="C6" s="5" t="inlineStr">
        <is>
          <t>Hitting 3.06M by July 15 needs ~5x best-ever pace; not achievable as-is.</t>
        </is>
      </c>
    </row>
    <row r="8">
      <c r="A8" s="3" t="inlineStr">
        <is>
          <t>Two Paths to Present to Client</t>
        </is>
      </c>
    </row>
    <row r="9">
      <c r="A9" s="4" t="inlineStr">
        <is>
          <t>Path</t>
        </is>
      </c>
      <c r="B9" s="4" t="inlineStr">
        <is>
          <t>Action</t>
        </is>
      </c>
      <c r="C9" s="4" t="inlineStr">
        <is>
          <t>Outcome</t>
        </is>
      </c>
    </row>
    <row r="10">
      <c r="A10" s="9" t="inlineStr">
        <is>
          <t>A - Extend flight</t>
        </is>
      </c>
      <c r="B10" s="5" t="inlineStr">
        <is>
          <t>Keep $30 CPM &amp; current pace</t>
        </is>
      </c>
      <c r="C10" s="5" t="inlineStr">
        <is>
          <t>Full delivery ~early-mid September</t>
        </is>
      </c>
    </row>
    <row r="11">
      <c r="A11" s="9" t="inlineStr">
        <is>
          <t>B - Rescope goal</t>
        </is>
      </c>
      <c r="B11" s="5" t="inlineStr">
        <is>
          <t>Right-size goal to flight</t>
        </is>
      </c>
      <c r="C11" s="5" t="inlineStr">
        <is>
          <t>~1.0-1.3M imps by July 15 (~$30-39K spend)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2026-07-01T21:20:39Z</dcterms:created>
  <dcterms:modified xsi:type="dcterms:W3CDTF">2026-07-01T21:20:39Z</dcterms:modified>
</cp:coreProperties>
</file>